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Dell\Desktop\"/>
    </mc:Choice>
  </mc:AlternateContent>
  <bookViews>
    <workbookView xWindow="0" yWindow="0" windowWidth="19200" windowHeight="6930" firstSheet="11" activeTab="16"/>
  </bookViews>
  <sheets>
    <sheet name="Table of Contents" sheetId="1" r:id="rId1"/>
    <sheet name="Executive_Summary" sheetId="2" r:id="rId2"/>
    <sheet name="Risk_Matrix" sheetId="3" r:id="rId3"/>
    <sheet name="Risk_Assessment" sheetId="4" r:id="rId4"/>
    <sheet name="Cost_Analysis_Summary" sheetId="5" r:id="rId5"/>
    <sheet name="Control_1" sheetId="6" r:id="rId6"/>
    <sheet name="Control_2" sheetId="7" r:id="rId7"/>
    <sheet name="Control_3" sheetId="8" r:id="rId8"/>
    <sheet name="Control_4" sheetId="9" r:id="rId9"/>
    <sheet name="Control_5" sheetId="10" r:id="rId10"/>
    <sheet name="Control_6" sheetId="11" r:id="rId11"/>
    <sheet name="Control_7" sheetId="12" r:id="rId12"/>
    <sheet name="Control_8" sheetId="13" r:id="rId13"/>
    <sheet name="Control_9" sheetId="14" r:id="rId14"/>
    <sheet name="Recommendations" sheetId="15" r:id="rId15"/>
    <sheet name="Risk_Prioritization" sheetId="16" r:id="rId16"/>
    <sheet name="Network Layout"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5" l="1"/>
  <c r="C12" i="5"/>
</calcChain>
</file>

<file path=xl/sharedStrings.xml><?xml version="1.0" encoding="utf-8"?>
<sst xmlns="http://schemas.openxmlformats.org/spreadsheetml/2006/main" count="526" uniqueCount="262">
  <si>
    <t>Final Project Report - Group 4</t>
  </si>
  <si>
    <t>PROJECT TEAM</t>
  </si>
  <si>
    <t>Group Members:</t>
  </si>
  <si>
    <t>Gerald Zikhali</t>
  </si>
  <si>
    <t>Bridget Tapera</t>
  </si>
  <si>
    <t>Natasha Ruziwa</t>
  </si>
  <si>
    <t>Leon Ndagura</t>
  </si>
  <si>
    <t>TABLE OF CONTENTS</t>
  </si>
  <si>
    <t>Sheet Name</t>
  </si>
  <si>
    <t>Page</t>
  </si>
  <si>
    <t>Executive Summary</t>
  </si>
  <si>
    <t>Risk Assessment Matrix</t>
  </si>
  <si>
    <t>Detailed Risk Assessment</t>
  </si>
  <si>
    <t>Cost-Benefit Analysis</t>
  </si>
  <si>
    <t>Control 1: MFA Implementation</t>
  </si>
  <si>
    <t>Control 2: SIEM Monitoring</t>
  </si>
  <si>
    <t>Control 3: EDR/XDR Deployment</t>
  </si>
  <si>
    <t>Control 4: WAF Implementation</t>
  </si>
  <si>
    <t>Control 5: HSM Configuration</t>
  </si>
  <si>
    <t>Control 6: Backup Testing</t>
  </si>
  <si>
    <t>Control 7: Phishing Simulation</t>
  </si>
  <si>
    <t>Control 8: Access Review</t>
  </si>
  <si>
    <t>Control 9: DR Testing</t>
  </si>
  <si>
    <t>Recommendations Timeline</t>
  </si>
  <si>
    <t>Risk Prioritization</t>
  </si>
  <si>
    <t>EXECUTIVE SUMMARY</t>
  </si>
  <si>
    <t>1. ASSESSMENT OVERVIEW</t>
  </si>
  <si>
    <t>2. KEY FINDINGS</t>
  </si>
  <si>
    <t>Critical Assets at Risk:</t>
  </si>
  <si>
    <t>9 major crown jewels identified</t>
  </si>
  <si>
    <t>High Inherent Risks:</t>
  </si>
  <si>
    <t>Controls Effectiveness:</t>
  </si>
  <si>
    <t>Multiple controls reducing risk to MEDIUM/LOW</t>
  </si>
  <si>
    <t>Residual Risks:</t>
  </si>
  <si>
    <t>Most reduced to MEDIUM category</t>
  </si>
  <si>
    <t>3. RISK EXPOSURE SUMMARY</t>
  </si>
  <si>
    <t>Confidentiality Risks:</t>
  </si>
  <si>
    <t>Customer data, executive accounts, IP</t>
  </si>
  <si>
    <t>Integrity Risks:</t>
  </si>
  <si>
    <t>Payment systems, trading platforms, core banking</t>
  </si>
  <si>
    <t>Availability Risks:</t>
  </si>
  <si>
    <t>Online banking, DR systems, core infrastructure</t>
  </si>
  <si>
    <t>4. FINANCIAL IMPLICATIONS</t>
  </si>
  <si>
    <t>Total Control Investment:</t>
  </si>
  <si>
    <t>$2.85M (estimated)</t>
  </si>
  <si>
    <t>Annual Risk Reduction:</t>
  </si>
  <si>
    <t>$1.92M (estimated savings)</t>
  </si>
  <si>
    <t>ROI Period:</t>
  </si>
  <si>
    <t>1.5 years average across controls</t>
  </si>
  <si>
    <t>5. RECOMMENDATIONS</t>
  </si>
  <si>
    <t>Risk Category</t>
  </si>
  <si>
    <t>High</t>
  </si>
  <si>
    <t>Medium</t>
  </si>
  <si>
    <t>Low</t>
  </si>
  <si>
    <t>Total</t>
  </si>
  <si>
    <t>Inherent Risk</t>
  </si>
  <si>
    <t>Residual Risk</t>
  </si>
  <si>
    <t>Risk Reduction</t>
  </si>
  <si>
    <t>N/A</t>
  </si>
  <si>
    <t>CBZ BANK RISK ASSESSMENT MATRIX</t>
  </si>
  <si>
    <t>Impact: High</t>
  </si>
  <si>
    <t>Impact: Medium</t>
  </si>
  <si>
    <t>Impact: Low</t>
  </si>
  <si>
    <t>Likelihood: High</t>
  </si>
  <si>
    <t>HIGH</t>
  </si>
  <si>
    <t>MEDIUM</t>
  </si>
  <si>
    <t>Likelihood: Medium</t>
  </si>
  <si>
    <t>LOW</t>
  </si>
  <si>
    <t>Likelihood: Low</t>
  </si>
  <si>
    <t>Inherent Risk Value</t>
  </si>
  <si>
    <t>Rationale</t>
  </si>
  <si>
    <t>External/Internal</t>
  </si>
  <si>
    <t>Natural/Man-made</t>
  </si>
  <si>
    <t>Intentional/Accidental</t>
  </si>
  <si>
    <t>Controls</t>
  </si>
  <si>
    <t>Control Type</t>
  </si>
  <si>
    <t>Manual/Auto</t>
  </si>
  <si>
    <t>Residual Risk Value</t>
  </si>
  <si>
    <t>Residual Rationale</t>
  </si>
  <si>
    <t>Confidentiality</t>
  </si>
  <si>
    <t>Customer data breach from phishing/malware, insider misuse</t>
  </si>
  <si>
    <t>Likelihood: High - Frequent targeting. Impact: High - Regulatory penalties, customer trust loss</t>
  </si>
  <si>
    <t>Man-made</t>
  </si>
  <si>
    <t>MFA, Encryption, DLP, RBAC</t>
  </si>
  <si>
    <t>Preventive/Detective</t>
  </si>
  <si>
    <t>Auto/Manual</t>
  </si>
  <si>
    <t>Sophisticated phishing, zero-day exploits</t>
  </si>
  <si>
    <t>Executive account compromise via phishing/social engineering</t>
  </si>
  <si>
    <t>Likelihood: High - Prime targets. Impact: High - Privileged access loss</t>
  </si>
  <si>
    <t>External</t>
  </si>
  <si>
    <t>Intentional</t>
  </si>
  <si>
    <t>Phishing-resistant MFA, UEBA, Privileged Access Management</t>
  </si>
  <si>
    <t>Auto</t>
  </si>
  <si>
    <t>MFA fatigue attacks, insider threats</t>
  </si>
  <si>
    <t>Integrity</t>
  </si>
  <si>
    <t>Payment system fraud (SWIFT/ACH manipulation)</t>
  </si>
  <si>
    <t>Likelihood: High - Frequent fraud attempts. Impact: High - Direct financial loss</t>
  </si>
  <si>
    <t>Dual authorization, SWIFT CSP controls, Network segmentation</t>
  </si>
  <si>
    <t>Insider collusion, sophisticated MITM</t>
  </si>
  <si>
    <t>Core banking system transaction tampering</t>
  </si>
  <si>
    <t>Likelihood: High - High-value target. Impact: High - National financial stability</t>
  </si>
  <si>
    <t>Change management, Configuration hardening, EDR/XDR</t>
  </si>
  <si>
    <t>Zero-day vulnerabilities, config errors</t>
  </si>
  <si>
    <t>Availability</t>
  </si>
  <si>
    <t>Online banking DDoS attacks</t>
  </si>
  <si>
    <t>Likelihood: High - Common attack vector. Impact: High - Customer access disruption</t>
  </si>
  <si>
    <t>WAF, Rate limiting, DDoS protection, CDN</t>
  </si>
  <si>
    <t>Preventive</t>
  </si>
  <si>
    <t>Distributed DDoS, novel attacks</t>
  </si>
  <si>
    <t>Disaster recovery system failure</t>
  </si>
  <si>
    <t>Likelihood: Medium - Natural/man-made disasters. Impact: Medium - Business continuity impact</t>
  </si>
  <si>
    <t>Internal/External</t>
  </si>
  <si>
    <t>Both</t>
  </si>
  <si>
    <t>Accidental/Intentional</t>
  </si>
  <si>
    <t>Backup testing, Off-site storage, BCP, Immutable backups</t>
  </si>
  <si>
    <t>Corrective</t>
  </si>
  <si>
    <t>Ransomware targeting backups</t>
  </si>
  <si>
    <t>Intellectual property theft</t>
  </si>
  <si>
    <t>Likelihood: Medium - Insider threats. Impact: Medium - Competitive disadvantage</t>
  </si>
  <si>
    <t>Access controls, DLP, Monitoring, Watermarking</t>
  </si>
  <si>
    <t>Spear-phishing, privilege escalation</t>
  </si>
  <si>
    <t>Regulatory reporting inaccuracies</t>
  </si>
  <si>
    <t>Likelihood: Medium - Human/data errors. Impact: Medium - Compliance violations</t>
  </si>
  <si>
    <t>Internal</t>
  </si>
  <si>
    <t>Accidental</t>
  </si>
  <si>
    <t>Automated reporting, Data validation, Dual review</t>
  </si>
  <si>
    <t>Source data issues, tool bugs</t>
  </si>
  <si>
    <t>Trading platform disruption</t>
  </si>
  <si>
    <t>Likelihood: High - Market manipulation attempts. Impact: High - Financial/compliance loss</t>
  </si>
  <si>
    <t>Pre-trade validation, Real-time alerts, Surveillance</t>
  </si>
  <si>
    <t>Fat-finger errors, algo manipulation</t>
  </si>
  <si>
    <t>Encryption key compromise</t>
  </si>
  <si>
    <t>Likelihood: High - High-value target. Impact: High - Complete system exposure</t>
  </si>
  <si>
    <t>HSM, Dual control, Certificate management</t>
  </si>
  <si>
    <t>HSM physical compromise, insider threats</t>
  </si>
  <si>
    <t>Control</t>
  </si>
  <si>
    <t>Description</t>
  </si>
  <si>
    <t>One-Time Cost ($)</t>
  </si>
  <si>
    <t>Annual Cost ($)</t>
  </si>
  <si>
    <t>Risk Reduction (%)</t>
  </si>
  <si>
    <t>ROI Period (Years)</t>
  </si>
  <si>
    <t>Priority</t>
  </si>
  <si>
    <t>MFA Implementation</t>
  </si>
  <si>
    <t>Phishing-resistant multi-factor authentication</t>
  </si>
  <si>
    <t>SIEM Monitoring</t>
  </si>
  <si>
    <t>Security information and event management</t>
  </si>
  <si>
    <t>EDR/XDR Deployment</t>
  </si>
  <si>
    <t>Endpoint detection and response</t>
  </si>
  <si>
    <t>WAF Implementation</t>
  </si>
  <si>
    <t>Web application firewall</t>
  </si>
  <si>
    <t>HSM Configuration</t>
  </si>
  <si>
    <t>Hardware security module setup</t>
  </si>
  <si>
    <t>Backup Testing</t>
  </si>
  <si>
    <t>Disaster recovery testing automation</t>
  </si>
  <si>
    <t>Phishing Simulation</t>
  </si>
  <si>
    <t>Employee awareness training platform</t>
  </si>
  <si>
    <t>Access Review</t>
  </si>
  <si>
    <t>Privileged access management</t>
  </si>
  <si>
    <t>DR Testing</t>
  </si>
  <si>
    <t>Disaster recovery comprehensive testing</t>
  </si>
  <si>
    <t>TOTALS</t>
  </si>
  <si>
    <t>COST-BENEFIT ANALYSIS: MFA Implementation</t>
  </si>
  <si>
    <t>Control Description:</t>
  </si>
  <si>
    <t>Phishing-resistant multi-factor authentication for all privileged users</t>
  </si>
  <si>
    <t>COST ESTIMATES</t>
  </si>
  <si>
    <t>One-Time Implementation Cost:</t>
  </si>
  <si>
    <t>Annual Maintenance Cost:</t>
  </si>
  <si>
    <t>RISK IMPACT ASSESSMENT</t>
  </si>
  <si>
    <t>Estimated Annual Impact Before Control:</t>
  </si>
  <si>
    <t>Estimated Annual Impact After Control:</t>
  </si>
  <si>
    <t>Annual Risk Reduction (Benefit):</t>
  </si>
  <si>
    <t>BREAK-EVEN ANALYSIS</t>
  </si>
  <si>
    <t>Year</t>
  </si>
  <si>
    <t>One-Time Cost</t>
  </si>
  <si>
    <t>Annual Cost</t>
  </si>
  <si>
    <t>Cumulative Cost</t>
  </si>
  <si>
    <t>Annual Benefit</t>
  </si>
  <si>
    <t>Net Position</t>
  </si>
  <si>
    <t>$175,000</t>
  </si>
  <si>
    <t>CONCLUSION</t>
  </si>
  <si>
    <t>Based on this analysis, MFA Implementation shows positive ROI within its useful life.</t>
  </si>
  <si>
    <t>COST-BENEFIT ANALYSIS: SIEM Monitoring</t>
  </si>
  <si>
    <t>Security Information and Event Management system</t>
  </si>
  <si>
    <t>Based on this analysis, SIEM Monitoring shows positive ROI within its useful life.</t>
  </si>
  <si>
    <t>COST-BENEFIT ANALYSIS: EDR/XDR Deployment</t>
  </si>
  <si>
    <t>Endpoint Detection and Response / Extended Detection and Response</t>
  </si>
  <si>
    <t>Based on this analysis, EDR/XDR Deployment shows positive ROI within its useful life.</t>
  </si>
  <si>
    <t>COST-BENEFIT ANALYSIS: WAF Implementation</t>
  </si>
  <si>
    <t>Web Application Firewall for online banking platforms</t>
  </si>
  <si>
    <t>Based on this analysis, WAF Implementation shows positive ROI within its useful life.</t>
  </si>
  <si>
    <t>COST-BENEFIT ANALYSIS: HSM Configuration</t>
  </si>
  <si>
    <t>Hardware Security Module setup for encryption keys</t>
  </si>
  <si>
    <t>Based on this analysis, HSM Configuration shows positive ROI within its useful life.</t>
  </si>
  <si>
    <t>COST-BENEFIT ANALYSIS: Backup Testing</t>
  </si>
  <si>
    <t>Automated backup integrity testing and validation</t>
  </si>
  <si>
    <t>Based on this analysis, Backup Testing shows positive ROI within its useful life.</t>
  </si>
  <si>
    <t>COST-BENEFIT ANALYSIS: Phishing Simulation</t>
  </si>
  <si>
    <t>Employee security awareness training platform</t>
  </si>
  <si>
    <t>Based on this analysis, Phishing Simulation shows positive ROI within its useful life.</t>
  </si>
  <si>
    <t>COST-BENEFIT ANALYSIS: Access Review</t>
  </si>
  <si>
    <t>Privileged Access Management and quarterly reviews</t>
  </si>
  <si>
    <t>Based on this analysis, Access Review shows positive ROI within its useful life.</t>
  </si>
  <si>
    <t>COST-BENEFIT ANALYSIS: DR Testing</t>
  </si>
  <si>
    <t>Comprehensive disaster recovery testing program</t>
  </si>
  <si>
    <t>Based on this analysis, DR Testing shows positive ROI within its useful life.</t>
  </si>
  <si>
    <t>Timeframe</t>
  </si>
  <si>
    <t>Recommendation</t>
  </si>
  <si>
    <t>Estimated Cost</t>
  </si>
  <si>
    <t>Risk Addressed</t>
  </si>
  <si>
    <t>Immediate (0-3 mos)</t>
  </si>
  <si>
    <t>Enforce phishing-resistant MFA for privileged users</t>
  </si>
  <si>
    <t>Customer data exposure</t>
  </si>
  <si>
    <t>Implement stricter payment validation rules</t>
  </si>
  <si>
    <t>Payment system fraud</t>
  </si>
  <si>
    <t>Tighten HSM access controls</t>
  </si>
  <si>
    <t>Encryption key theft</t>
  </si>
  <si>
    <t>Medium (3-6 mos)</t>
  </si>
  <si>
    <t>Deploy EDR/XDR on critical servers</t>
  </si>
  <si>
    <t>Core system compromise</t>
  </si>
  <si>
    <t>Expand phishing simulations</t>
  </si>
  <si>
    <t>Credential theft</t>
  </si>
  <si>
    <t>Automate certificate management</t>
  </si>
  <si>
    <t>Certificate expiration</t>
  </si>
  <si>
    <t>Long (6-12+ mos)</t>
  </si>
  <si>
    <t>Enhance insider threat program</t>
  </si>
  <si>
    <t>Insider risks</t>
  </si>
  <si>
    <t>Implement infrastructure redundancy</t>
  </si>
  <si>
    <t>System availability</t>
  </si>
  <si>
    <t>Integrate ML for fraud detection</t>
  </si>
  <si>
    <t>Advanced fraud</t>
  </si>
  <si>
    <t>Conduct red team exercises</t>
  </si>
  <si>
    <t>Overall security</t>
  </si>
  <si>
    <t>Rank</t>
  </si>
  <si>
    <t>Risk</t>
  </si>
  <si>
    <t>Control Investment Priority</t>
  </si>
  <si>
    <t>Customer Data Exposure</t>
  </si>
  <si>
    <t>Significant</t>
  </si>
  <si>
    <t>Core Banking System Compromise</t>
  </si>
  <si>
    <t>Payment System Fraud</t>
  </si>
  <si>
    <t>Encryption Key Theft</t>
  </si>
  <si>
    <t>Major</t>
  </si>
  <si>
    <t>Digital Banking Disruption</t>
  </si>
  <si>
    <t>Trading Platform Manipulation</t>
  </si>
  <si>
    <t>Intellectual Property Theft</t>
  </si>
  <si>
    <t>Limited</t>
  </si>
  <si>
    <t>Regulatory Reporting Errors</t>
  </si>
  <si>
    <t>DR System Failure</t>
  </si>
  <si>
    <t>CBZ BANK RISK ASSESSMENT</t>
  </si>
  <si>
    <t>Fortunate Tauya</t>
  </si>
  <si>
    <t>Tinovimba Pfupa</t>
  </si>
  <si>
    <t>7 out of 9assets rated HIGH</t>
  </si>
  <si>
    <t xml:space="preserve">This comprehensive risk assessment evaluates CBZ Bank Holdings' cybersecurity posture across critical assets including customer data, core banking systems, payment platforms,and digital banking infrastructure. The assessment follows NIST and ISO 27001 frameworks.
</t>
  </si>
  <si>
    <t>Likelihood: Medium - Controls reduce risk. 
Impact: Medium - Reduced but still significant</t>
  </si>
  <si>
    <t>Likelihood: Medium - Strong controls.
 Impact: Medium - Still significant if compromised</t>
  </si>
  <si>
    <t>Likelihood: Medium - Reduced by controls
Impact: Medium - Partial fraud still possible</t>
  </si>
  <si>
    <t>Likelihood: Medium - Strong controls. 
Impact: Medium - Redundancy reduces impact</t>
  </si>
  <si>
    <t>Likelihood: Medium - Protections in place.
 Impact: Medium - Service interruptions possible</t>
  </si>
  <si>
    <t>Likelihood: Low - Strong planning. 
Impact: Low - Rare failures</t>
  </si>
  <si>
    <t>Likelihood: Medium - Controls help. 
Impact: Medium - Still significant</t>
  </si>
  <si>
    <t>Likelihood: Low - Automation reduces errors.
 Impact: Low - Minor impact</t>
  </si>
  <si>
    <t>Likelihood: Medium - Validation reduces. 
Impact: Medium - Consequences remain</t>
  </si>
  <si>
    <t>Likelihood: Low - Strong protection.
 Impact: Medium - Rare but severe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</si>
</sst>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6" formatCode="&quot;$&quot;#,##0_);[Red]\(&quot;$&quot;#,##0\)"/>
  </numFmts>
  <fonts count="15" x14ac:knownFonts="1">
    <font>
      <sz val="11"/>
      <color theme="1"/>
      <name val="Calibri"/>
      <family val="2"/>
      <scheme val="minor"/>
    </font>
    <font>
      <b/>
      <sz val="16"/>
      <color rgb="FF2E2E2E"/>
      <name val="Calibri"/>
    </font>
    <font>
      <b/>
      <sz val="12"/>
      <color rgb="FF2E2E2E"/>
      <name val="Calibri"/>
    </font>
    <font>
      <i/>
      <sz val="10"/>
      <name val="Calibri"/>
    </font>
    <font>
      <b/>
      <sz val="12"/>
      <name val="Calibri"/>
    </font>
    <font>
      <b/>
      <sz val="11"/>
      <name val="Calibri"/>
    </font>
    <font>
      <b/>
      <sz val="14"/>
      <name val="Calibri"/>
    </font>
    <font>
      <u/>
      <sz val="11"/>
      <color rgb="FF0563C1"/>
      <name val="Calibri"/>
    </font>
    <font>
      <b/>
      <sz val="16"/>
      <color rgb="FF1F4E78"/>
      <name val="Calibri"/>
    </font>
    <font>
      <b/>
      <sz val="12"/>
      <color rgb="FF1F4E78"/>
      <name val="Calibri"/>
    </font>
    <font>
      <b/>
      <sz val="11"/>
      <color rgb="FFFFFFFF"/>
      <name val="Calibri"/>
    </font>
    <font>
      <b/>
      <sz val="14"/>
      <color rgb="FF1F4E78"/>
      <name val="Calibri"/>
    </font>
    <font>
      <b/>
      <sz val="11"/>
      <color rgb="FF00B050"/>
      <name val="Calibri"/>
    </font>
    <font>
      <b/>
      <sz val="11"/>
      <color rgb="FF006100"/>
      <name val="Calibri"/>
    </font>
    <font>
      <b/>
      <sz val="11"/>
      <color theme="3"/>
      <name val="Calibri"/>
      <family val="2"/>
      <scheme val="minor"/>
    </font>
  </fonts>
  <fills count="9">
    <fill>
      <patternFill patternType="none"/>
    </fill>
    <fill>
      <patternFill patternType="gray125"/>
    </fill>
    <fill>
      <patternFill patternType="solid">
        <fgColor rgb="FFE6E6E6"/>
        <bgColor rgb="FFE6E6E6"/>
      </patternFill>
    </fill>
    <fill>
      <patternFill patternType="solid">
        <fgColor rgb="FFF2F2F2"/>
        <bgColor rgb="FFF2F2F2"/>
      </patternFill>
    </fill>
    <fill>
      <patternFill patternType="solid">
        <fgColor rgb="FFFF0000"/>
        <bgColor rgb="FFFF0000"/>
      </patternFill>
    </fill>
    <fill>
      <patternFill patternType="solid">
        <fgColor rgb="FFFFFF00"/>
        <bgColor rgb="FFFFFF00"/>
      </patternFill>
    </fill>
    <fill>
      <patternFill patternType="solid">
        <fgColor rgb="FF00FF00"/>
        <bgColor rgb="FF00FF00"/>
      </patternFill>
    </fill>
    <fill>
      <patternFill patternType="solid">
        <fgColor rgb="FF366092"/>
        <bgColor rgb="FF366092"/>
      </patternFill>
    </fill>
    <fill>
      <patternFill patternType="solid">
        <fgColor rgb="FFC6EFCE"/>
        <bgColor rgb="FFC6EFCE"/>
      </patternFill>
    </fill>
  </fills>
  <borders count="1">
    <border>
      <left/>
      <right/>
      <top/>
      <bottom/>
      <diagonal/>
    </border>
  </borders>
  <cellStyleXfs count="1">
    <xf numFmtId="0" fontId="0" fillId="0" borderId="0"/>
  </cellStyleXfs>
  <cellXfs count="33">
    <xf numFmtId="0" fontId="0" fillId="0" borderId="0" xfId="0"/>
    <xf numFmtId="0" fontId="4" fillId="0" borderId="0" xfId="0" applyFont="1"/>
    <xf numFmtId="0" fontId="5" fillId="0" borderId="0" xfId="0" applyFont="1"/>
    <xf numFmtId="0" fontId="6" fillId="0" borderId="0" xfId="0" applyFont="1"/>
    <xf numFmtId="0" fontId="7" fillId="0" borderId="0" xfId="0" applyFont="1"/>
    <xf numFmtId="0" fontId="5" fillId="2" borderId="0" xfId="0" applyFont="1" applyFill="1"/>
    <xf numFmtId="0" fontId="5" fillId="3" borderId="0" xfId="0" applyFont="1" applyFill="1"/>
    <xf numFmtId="0" fontId="5" fillId="4" borderId="0" xfId="0" applyFont="1" applyFill="1"/>
    <xf numFmtId="0" fontId="5" fillId="5" borderId="0" xfId="0" applyFont="1" applyFill="1"/>
    <xf numFmtId="0" fontId="5" fillId="6" borderId="0" xfId="0" applyFont="1" applyFill="1"/>
    <xf numFmtId="0" fontId="10" fillId="7" borderId="0" xfId="0" applyFont="1" applyFill="1"/>
    <xf numFmtId="0" fontId="10" fillId="4" borderId="0" xfId="0" applyFont="1" applyFill="1"/>
    <xf numFmtId="0" fontId="0" fillId="5" borderId="0" xfId="0" applyFill="1"/>
    <xf numFmtId="0" fontId="0" fillId="6" borderId="0" xfId="0" applyFill="1"/>
    <xf numFmtId="0" fontId="13" fillId="8" borderId="0" xfId="0" applyFont="1" applyFill="1"/>
    <xf numFmtId="0" fontId="0" fillId="0" borderId="0" xfId="0"/>
    <xf numFmtId="0" fontId="0" fillId="0" borderId="0" xfId="0" applyAlignment="1">
      <alignment wrapText="1"/>
    </xf>
    <xf numFmtId="0" fontId="14" fillId="0" borderId="0" xfId="0" applyFont="1"/>
    <xf numFmtId="3" fontId="0" fillId="0" borderId="0" xfId="0" applyNumberFormat="1"/>
    <xf numFmtId="9" fontId="0" fillId="0" borderId="0" xfId="0" applyNumberFormat="1"/>
    <xf numFmtId="6" fontId="0" fillId="0" borderId="0" xfId="0" applyNumberFormat="1"/>
    <xf numFmtId="6" fontId="12" fillId="0" borderId="0" xfId="0" applyNumberFormat="1" applyFont="1"/>
    <xf numFmtId="6" fontId="13" fillId="8" borderId="0" xfId="0" applyNumberFormat="1" applyFont="1" applyFill="1"/>
    <xf numFmtId="0" fontId="1" fillId="0" borderId="0" xfId="0" applyFont="1" applyAlignment="1">
      <alignment horizontal="center"/>
    </xf>
    <xf numFmtId="0" fontId="0" fillId="0" borderId="0" xfId="0"/>
    <xf numFmtId="0" fontId="2" fillId="0" borderId="0" xfId="0" applyFont="1" applyAlignment="1">
      <alignment horizontal="center"/>
    </xf>
    <xf numFmtId="0" fontId="3" fillId="0" borderId="0" xfId="0" applyFont="1" applyAlignment="1">
      <alignment horizontal="center"/>
    </xf>
    <xf numFmtId="0" fontId="5" fillId="0" borderId="0" xfId="0" applyFont="1"/>
    <xf numFmtId="0" fontId="8" fillId="0" borderId="0" xfId="0" applyFont="1" applyAlignment="1">
      <alignment horizontal="center"/>
    </xf>
    <xf numFmtId="0" fontId="9" fillId="0" borderId="0" xfId="0" applyFont="1"/>
    <xf numFmtId="0" fontId="6" fillId="0" borderId="0" xfId="0" applyFont="1"/>
    <xf numFmtId="0" fontId="4" fillId="0" borderId="0" xfId="0" applyFont="1"/>
    <xf numFmtId="0" fontId="1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63500</xdr:colOff>
      <xdr:row>13</xdr:row>
      <xdr:rowOff>0</xdr:rowOff>
    </xdr:from>
    <xdr:to>
      <xdr:col>11</xdr:col>
      <xdr:colOff>584200</xdr:colOff>
      <xdr:row>38</xdr:row>
      <xdr:rowOff>18183</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82700" y="2393950"/>
          <a:ext cx="6007100" cy="462193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7"/>
  <sheetViews>
    <sheetView topLeftCell="A6" workbookViewId="0">
      <selection activeCell="B27" sqref="B27"/>
    </sheetView>
  </sheetViews>
  <sheetFormatPr defaultRowHeight="14.5" x14ac:dyDescent="0.35"/>
  <cols>
    <col min="1" max="1" width="23.08984375" customWidth="1"/>
    <col min="2" max="2" width="40" customWidth="1"/>
    <col min="3" max="3" width="10" customWidth="1"/>
  </cols>
  <sheetData>
    <row r="1" spans="1:3" ht="21" x14ac:dyDescent="0.5">
      <c r="A1" s="23" t="s">
        <v>247</v>
      </c>
      <c r="B1" s="24"/>
      <c r="C1" s="24"/>
    </row>
    <row r="2" spans="1:3" ht="15.5" x14ac:dyDescent="0.35">
      <c r="A2" s="25" t="s">
        <v>0</v>
      </c>
      <c r="B2" s="24"/>
      <c r="C2" s="24"/>
    </row>
    <row r="3" spans="1:3" x14ac:dyDescent="0.35">
      <c r="A3" s="26"/>
      <c r="B3" s="24"/>
      <c r="C3" s="24"/>
    </row>
    <row r="5" spans="1:3" ht="15.5" x14ac:dyDescent="0.35">
      <c r="A5" s="1" t="s">
        <v>1</v>
      </c>
      <c r="B5" s="27" t="s">
        <v>2</v>
      </c>
      <c r="C5" s="24"/>
    </row>
    <row r="6" spans="1:3" x14ac:dyDescent="0.35">
      <c r="B6" t="s">
        <v>3</v>
      </c>
    </row>
    <row r="7" spans="1:3" x14ac:dyDescent="0.35">
      <c r="B7" t="s">
        <v>4</v>
      </c>
    </row>
    <row r="8" spans="1:3" x14ac:dyDescent="0.35">
      <c r="B8" t="s">
        <v>5</v>
      </c>
    </row>
    <row r="9" spans="1:3" x14ac:dyDescent="0.35">
      <c r="B9" t="s">
        <v>248</v>
      </c>
    </row>
    <row r="10" spans="1:3" x14ac:dyDescent="0.35">
      <c r="B10" t="s">
        <v>249</v>
      </c>
    </row>
    <row r="11" spans="1:3" x14ac:dyDescent="0.35">
      <c r="B11" t="s">
        <v>6</v>
      </c>
    </row>
    <row r="12" spans="1:3" ht="18.5" x14ac:dyDescent="0.45">
      <c r="A12" s="3" t="s">
        <v>7</v>
      </c>
      <c r="B12" s="2" t="s">
        <v>8</v>
      </c>
      <c r="C12" s="2" t="s">
        <v>9</v>
      </c>
    </row>
    <row r="13" spans="1:3" x14ac:dyDescent="0.35">
      <c r="B13" s="4" t="s">
        <v>10</v>
      </c>
      <c r="C13">
        <v>2</v>
      </c>
    </row>
    <row r="14" spans="1:3" x14ac:dyDescent="0.35">
      <c r="B14" s="4" t="s">
        <v>11</v>
      </c>
      <c r="C14">
        <v>3</v>
      </c>
    </row>
    <row r="15" spans="1:3" x14ac:dyDescent="0.35">
      <c r="B15" s="4" t="s">
        <v>12</v>
      </c>
      <c r="C15">
        <v>4</v>
      </c>
    </row>
    <row r="16" spans="1:3" x14ac:dyDescent="0.35">
      <c r="B16" s="4" t="s">
        <v>13</v>
      </c>
      <c r="C16">
        <v>5</v>
      </c>
    </row>
    <row r="17" spans="2:3" x14ac:dyDescent="0.35">
      <c r="B17" s="4" t="s">
        <v>14</v>
      </c>
      <c r="C17">
        <v>6</v>
      </c>
    </row>
    <row r="18" spans="2:3" x14ac:dyDescent="0.35">
      <c r="B18" s="4" t="s">
        <v>15</v>
      </c>
      <c r="C18">
        <v>7</v>
      </c>
    </row>
    <row r="19" spans="2:3" x14ac:dyDescent="0.35">
      <c r="B19" s="4" t="s">
        <v>16</v>
      </c>
      <c r="C19">
        <v>8</v>
      </c>
    </row>
    <row r="20" spans="2:3" x14ac:dyDescent="0.35">
      <c r="B20" s="4" t="s">
        <v>17</v>
      </c>
      <c r="C20">
        <v>9</v>
      </c>
    </row>
    <row r="21" spans="2:3" x14ac:dyDescent="0.35">
      <c r="B21" s="4" t="s">
        <v>18</v>
      </c>
      <c r="C21">
        <v>10</v>
      </c>
    </row>
    <row r="22" spans="2:3" x14ac:dyDescent="0.35">
      <c r="B22" s="4" t="s">
        <v>19</v>
      </c>
      <c r="C22">
        <v>11</v>
      </c>
    </row>
    <row r="23" spans="2:3" x14ac:dyDescent="0.35">
      <c r="B23" s="4" t="s">
        <v>20</v>
      </c>
      <c r="C23">
        <v>12</v>
      </c>
    </row>
    <row r="24" spans="2:3" x14ac:dyDescent="0.35">
      <c r="B24" s="4" t="s">
        <v>21</v>
      </c>
      <c r="C24">
        <v>13</v>
      </c>
    </row>
    <row r="25" spans="2:3" x14ac:dyDescent="0.35">
      <c r="B25" s="4" t="s">
        <v>22</v>
      </c>
      <c r="C25">
        <v>14</v>
      </c>
    </row>
    <row r="26" spans="2:3" x14ac:dyDescent="0.35">
      <c r="B26" s="4" t="s">
        <v>23</v>
      </c>
      <c r="C26">
        <v>15</v>
      </c>
    </row>
    <row r="27" spans="2:3" x14ac:dyDescent="0.35">
      <c r="B27" s="4" t="s">
        <v>24</v>
      </c>
      <c r="C27">
        <v>16</v>
      </c>
    </row>
  </sheetData>
  <mergeCells count="4">
    <mergeCell ref="A1:C1"/>
    <mergeCell ref="A2:C2"/>
    <mergeCell ref="A3:C3"/>
    <mergeCell ref="B5:C5"/>
  </mergeCells>
  <hyperlinks>
    <hyperlink ref="B13" location="'Executive_Summary'!A1" display="Executive Summary"/>
    <hyperlink ref="B14" location="'Risk_Matrix'!A1" display="Risk Assessment Matrix"/>
    <hyperlink ref="B15" location="'Risk_Assessment'!A1" display="Detailed Risk Assessment"/>
    <hyperlink ref="B16" location="'Cost_Analysis_Summary'!A1" display="Cost-Benefit Analysis"/>
    <hyperlink ref="B17" location="'Control_1'!A1" display="Control 1: MFA Implementation"/>
    <hyperlink ref="B18" location="'Control_2'!A1" display="Control 2: SIEM Monitoring"/>
    <hyperlink ref="B19" location="'Control_3'!A1" display="Control 3: EDR/XDR Deployment"/>
    <hyperlink ref="B20" location="'Control_4'!A1" display="Control 4: WAF Implementation"/>
    <hyperlink ref="B21" location="'Control_5'!A1" display="Control 5: HSM Configuration"/>
    <hyperlink ref="B22" location="'Control_6'!A1" display="Control 6: Backup Testing"/>
    <hyperlink ref="B23" location="'Control_7'!A1" display="Control 7: Phishing Simulation"/>
    <hyperlink ref="B24" location="'Control_8'!A1" display="Control 8: Access Review"/>
    <hyperlink ref="B25" location="'Control_9'!A1" display="Control 9: DR Testing"/>
    <hyperlink ref="B26" location="'Recommendations'!A1" display="Recommendations Timeline"/>
    <hyperlink ref="B27" location="'Risk_Prioritization'!A1" display="Risk Prioritization"/>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
  <sheetViews>
    <sheetView topLeftCell="A11" workbookViewId="0">
      <selection activeCell="A8" sqref="A8:F8"/>
    </sheetView>
  </sheetViews>
  <sheetFormatPr defaultRowHeight="14.5" x14ac:dyDescent="0.35"/>
  <cols>
    <col min="1" max="1" width="28.6328125" customWidth="1"/>
    <col min="2" max="2" width="37.26953125" customWidth="1"/>
    <col min="3" max="6" width="20" customWidth="1"/>
  </cols>
  <sheetData>
    <row r="1" spans="1:6" ht="21" x14ac:dyDescent="0.5">
      <c r="A1" s="28" t="s">
        <v>25</v>
      </c>
      <c r="B1" s="24"/>
      <c r="C1" s="24"/>
      <c r="D1" s="24"/>
      <c r="E1" s="24"/>
      <c r="F1" s="24"/>
    </row>
    <row r="3" spans="1:6" ht="24" customHeight="1" x14ac:dyDescent="0.35">
      <c r="A3" s="29" t="s">
        <v>26</v>
      </c>
      <c r="B3" s="24"/>
      <c r="C3" s="24"/>
      <c r="D3" s="24"/>
      <c r="E3" s="24"/>
      <c r="F3" s="24"/>
    </row>
    <row r="4" spans="1:6" ht="99.4" customHeight="1" x14ac:dyDescent="0.35">
      <c r="B4" s="16" t="s">
        <v>251</v>
      </c>
    </row>
    <row r="8" spans="1:6" ht="15.5" x14ac:dyDescent="0.35">
      <c r="A8" s="29" t="s">
        <v>27</v>
      </c>
      <c r="B8" s="24"/>
      <c r="C8" s="24"/>
      <c r="D8" s="24"/>
      <c r="E8" s="24"/>
      <c r="F8" s="24"/>
    </row>
    <row r="9" spans="1:6" x14ac:dyDescent="0.35">
      <c r="A9" t="s">
        <v>28</v>
      </c>
      <c r="B9" t="s">
        <v>29</v>
      </c>
    </row>
    <row r="10" spans="1:6" x14ac:dyDescent="0.35">
      <c r="A10" t="s">
        <v>30</v>
      </c>
      <c r="B10" t="s">
        <v>250</v>
      </c>
    </row>
    <row r="11" spans="1:6" x14ac:dyDescent="0.35">
      <c r="A11" t="s">
        <v>31</v>
      </c>
      <c r="B11" t="s">
        <v>32</v>
      </c>
    </row>
    <row r="12" spans="1:6" x14ac:dyDescent="0.35">
      <c r="A12" t="s">
        <v>33</v>
      </c>
      <c r="B12" t="s">
        <v>34</v>
      </c>
    </row>
    <row r="14" spans="1:6" x14ac:dyDescent="0.35">
      <c r="A14" s="17" t="s">
        <v>35</v>
      </c>
    </row>
    <row r="15" spans="1:6" x14ac:dyDescent="0.35">
      <c r="A15" t="s">
        <v>36</v>
      </c>
      <c r="B15" t="s">
        <v>37</v>
      </c>
    </row>
    <row r="16" spans="1:6" x14ac:dyDescent="0.35">
      <c r="A16" t="s">
        <v>38</v>
      </c>
      <c r="B16" t="s">
        <v>39</v>
      </c>
    </row>
    <row r="17" spans="1:6" x14ac:dyDescent="0.35">
      <c r="A17" t="s">
        <v>40</v>
      </c>
      <c r="B17" t="s">
        <v>41</v>
      </c>
    </row>
    <row r="19" spans="1:6" ht="15.5" x14ac:dyDescent="0.35">
      <c r="A19" s="29" t="s">
        <v>42</v>
      </c>
      <c r="B19" s="24"/>
      <c r="C19" s="24"/>
      <c r="D19" s="24"/>
      <c r="E19" s="24"/>
      <c r="F19" s="24"/>
    </row>
    <row r="20" spans="1:6" x14ac:dyDescent="0.35">
      <c r="A20" t="s">
        <v>43</v>
      </c>
      <c r="B20" t="s">
        <v>44</v>
      </c>
    </row>
    <row r="21" spans="1:6" x14ac:dyDescent="0.35">
      <c r="A21" t="s">
        <v>45</v>
      </c>
      <c r="B21" t="s">
        <v>46</v>
      </c>
    </row>
    <row r="22" spans="1:6" x14ac:dyDescent="0.35">
      <c r="A22" t="s">
        <v>47</v>
      </c>
      <c r="B22" t="s">
        <v>48</v>
      </c>
    </row>
    <row r="24" spans="1:6" ht="15.5" x14ac:dyDescent="0.35">
      <c r="A24" s="29" t="s">
        <v>49</v>
      </c>
      <c r="B24" s="24"/>
      <c r="C24" s="24"/>
      <c r="D24" s="24"/>
      <c r="E24" s="24"/>
      <c r="F24" s="24"/>
    </row>
    <row r="25" spans="1:6" x14ac:dyDescent="0.35">
      <c r="A25" s="5" t="s">
        <v>50</v>
      </c>
      <c r="B25" s="5" t="s">
        <v>51</v>
      </c>
      <c r="C25" s="5" t="s">
        <v>52</v>
      </c>
      <c r="D25" s="5" t="s">
        <v>53</v>
      </c>
      <c r="E25" s="5" t="s">
        <v>54</v>
      </c>
    </row>
    <row r="26" spans="1:6" x14ac:dyDescent="0.35">
      <c r="A26" t="s">
        <v>55</v>
      </c>
      <c r="B26">
        <v>7</v>
      </c>
      <c r="C26">
        <v>2</v>
      </c>
      <c r="D26">
        <v>1</v>
      </c>
      <c r="E26">
        <v>10</v>
      </c>
    </row>
    <row r="27" spans="1:6" x14ac:dyDescent="0.35">
      <c r="A27" t="s">
        <v>56</v>
      </c>
      <c r="B27">
        <v>0</v>
      </c>
      <c r="C27">
        <v>7</v>
      </c>
      <c r="D27">
        <v>3</v>
      </c>
      <c r="E27">
        <v>10</v>
      </c>
    </row>
    <row r="28" spans="1:6" x14ac:dyDescent="0.35">
      <c r="A28" t="s">
        <v>57</v>
      </c>
      <c r="B28">
        <v>-7</v>
      </c>
      <c r="C28">
        <v>5</v>
      </c>
      <c r="D28">
        <v>2</v>
      </c>
      <c r="E28" t="s">
        <v>58</v>
      </c>
    </row>
  </sheetData>
  <mergeCells count="5">
    <mergeCell ref="A1:F1"/>
    <mergeCell ref="A3:F3"/>
    <mergeCell ref="A8:F8"/>
    <mergeCell ref="A19:F19"/>
    <mergeCell ref="A24:F24"/>
  </mergeCell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C2" sqref="C2"/>
    </sheetView>
  </sheetViews>
  <sheetFormatPr defaultRowHeight="14.5" x14ac:dyDescent="0.35"/>
  <cols>
    <col min="1" max="1" width="18.54296875" customWidth="1"/>
    <col min="2" max="2" width="19.453125" customWidth="1"/>
    <col min="3" max="3" width="20.36328125" customWidth="1"/>
    <col min="4" max="4" width="19.36328125" customWidth="1"/>
  </cols>
  <sheetData>
    <row r="1" spans="1:4" ht="18.5" x14ac:dyDescent="0.45">
      <c r="A1" s="30" t="s">
        <v>59</v>
      </c>
      <c r="B1" s="24"/>
      <c r="C1" s="24"/>
      <c r="D1" s="24"/>
    </row>
    <row r="2" spans="1:4" x14ac:dyDescent="0.35">
      <c r="A2" s="6"/>
      <c r="B2" s="6" t="s">
        <v>60</v>
      </c>
      <c r="C2" s="6" t="s">
        <v>61</v>
      </c>
      <c r="D2" s="6" t="s">
        <v>62</v>
      </c>
    </row>
    <row r="3" spans="1:4" x14ac:dyDescent="0.35">
      <c r="A3" s="6" t="s">
        <v>63</v>
      </c>
      <c r="B3" s="7" t="s">
        <v>64</v>
      </c>
      <c r="C3" s="7" t="s">
        <v>64</v>
      </c>
      <c r="D3" s="8" t="s">
        <v>65</v>
      </c>
    </row>
    <row r="4" spans="1:4" x14ac:dyDescent="0.35">
      <c r="A4" s="6" t="s">
        <v>66</v>
      </c>
      <c r="B4" s="7" t="s">
        <v>64</v>
      </c>
      <c r="C4" s="8" t="s">
        <v>65</v>
      </c>
      <c r="D4" s="9" t="s">
        <v>67</v>
      </c>
    </row>
    <row r="5" spans="1:4" x14ac:dyDescent="0.35">
      <c r="A5" s="6" t="s">
        <v>68</v>
      </c>
      <c r="B5" s="8" t="s">
        <v>65</v>
      </c>
      <c r="C5" s="9" t="s">
        <v>67</v>
      </c>
      <c r="D5" s="9" t="s">
        <v>67</v>
      </c>
    </row>
  </sheetData>
  <mergeCells count="1">
    <mergeCell ref="A1:D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
  <sheetViews>
    <sheetView topLeftCell="B2" workbookViewId="0">
      <selection activeCell="H2" sqref="H2"/>
    </sheetView>
  </sheetViews>
  <sheetFormatPr defaultRowHeight="14.5" x14ac:dyDescent="0.35"/>
  <cols>
    <col min="1" max="1" width="15" customWidth="1"/>
    <col min="2" max="2" width="41.6328125" customWidth="1"/>
    <col min="3" max="3" width="27.1796875" customWidth="1"/>
    <col min="4" max="4" width="26" customWidth="1"/>
    <col min="5" max="5" width="23.36328125" customWidth="1"/>
    <col min="6" max="6" width="12" customWidth="1"/>
    <col min="7" max="7" width="15" customWidth="1"/>
    <col min="8" max="8" width="46" customWidth="1"/>
    <col min="9" max="9" width="15" customWidth="1"/>
    <col min="10" max="10" width="12" customWidth="1"/>
    <col min="11" max="11" width="30" customWidth="1"/>
    <col min="12" max="12" width="12" customWidth="1"/>
    <col min="13" max="13" width="32.7265625" customWidth="1"/>
  </cols>
  <sheetData>
    <row r="1" spans="1:13" x14ac:dyDescent="0.35">
      <c r="A1" s="10" t="s">
        <v>50</v>
      </c>
      <c r="B1" s="10" t="s">
        <v>55</v>
      </c>
      <c r="C1" s="10" t="s">
        <v>69</v>
      </c>
      <c r="D1" s="10" t="s">
        <v>70</v>
      </c>
      <c r="E1" s="10" t="s">
        <v>71</v>
      </c>
      <c r="F1" s="10" t="s">
        <v>72</v>
      </c>
      <c r="G1" s="10" t="s">
        <v>73</v>
      </c>
      <c r="H1" s="10" t="s">
        <v>74</v>
      </c>
      <c r="I1" s="10" t="s">
        <v>75</v>
      </c>
      <c r="J1" s="10" t="s">
        <v>76</v>
      </c>
      <c r="K1" s="10" t="s">
        <v>56</v>
      </c>
      <c r="L1" s="10" t="s">
        <v>77</v>
      </c>
      <c r="M1" s="10" t="s">
        <v>78</v>
      </c>
    </row>
    <row r="2" spans="1:13" ht="58" x14ac:dyDescent="0.35">
      <c r="A2" t="s">
        <v>79</v>
      </c>
      <c r="B2" t="s">
        <v>80</v>
      </c>
      <c r="C2" s="11" t="s">
        <v>51</v>
      </c>
      <c r="D2" t="s">
        <v>81</v>
      </c>
      <c r="E2" t="s">
        <v>71</v>
      </c>
      <c r="F2" t="s">
        <v>82</v>
      </c>
      <c r="G2" t="s">
        <v>73</v>
      </c>
      <c r="H2" t="s">
        <v>83</v>
      </c>
      <c r="I2" t="s">
        <v>84</v>
      </c>
      <c r="J2" t="s">
        <v>85</v>
      </c>
      <c r="K2" t="s">
        <v>86</v>
      </c>
      <c r="L2" s="12" t="s">
        <v>52</v>
      </c>
      <c r="M2" s="16" t="s">
        <v>252</v>
      </c>
    </row>
    <row r="3" spans="1:13" ht="43.5" x14ac:dyDescent="0.35">
      <c r="A3" t="s">
        <v>79</v>
      </c>
      <c r="B3" t="s">
        <v>87</v>
      </c>
      <c r="C3" s="11" t="s">
        <v>51</v>
      </c>
      <c r="D3" t="s">
        <v>88</v>
      </c>
      <c r="E3" t="s">
        <v>89</v>
      </c>
      <c r="F3" t="s">
        <v>82</v>
      </c>
      <c r="G3" t="s">
        <v>90</v>
      </c>
      <c r="H3" t="s">
        <v>91</v>
      </c>
      <c r="I3" t="s">
        <v>84</v>
      </c>
      <c r="J3" t="s">
        <v>92</v>
      </c>
      <c r="K3" t="s">
        <v>93</v>
      </c>
      <c r="L3" s="12" t="s">
        <v>52</v>
      </c>
      <c r="M3" s="16" t="s">
        <v>253</v>
      </c>
    </row>
    <row r="4" spans="1:13" ht="58" x14ac:dyDescent="0.35">
      <c r="A4" t="s">
        <v>94</v>
      </c>
      <c r="B4" t="s">
        <v>95</v>
      </c>
      <c r="C4" s="11" t="s">
        <v>51</v>
      </c>
      <c r="D4" t="s">
        <v>96</v>
      </c>
      <c r="E4" t="s">
        <v>71</v>
      </c>
      <c r="F4" t="s">
        <v>82</v>
      </c>
      <c r="G4" t="s">
        <v>90</v>
      </c>
      <c r="H4" t="s">
        <v>97</v>
      </c>
      <c r="I4" t="s">
        <v>84</v>
      </c>
      <c r="J4" t="s">
        <v>76</v>
      </c>
      <c r="K4" t="s">
        <v>98</v>
      </c>
      <c r="L4" s="12" t="s">
        <v>52</v>
      </c>
      <c r="M4" s="16" t="s">
        <v>254</v>
      </c>
    </row>
    <row r="5" spans="1:13" ht="43.5" x14ac:dyDescent="0.35">
      <c r="A5" t="s">
        <v>94</v>
      </c>
      <c r="B5" t="s">
        <v>99</v>
      </c>
      <c r="C5" s="11" t="s">
        <v>51</v>
      </c>
      <c r="D5" t="s">
        <v>100</v>
      </c>
      <c r="E5" t="s">
        <v>89</v>
      </c>
      <c r="F5" t="s">
        <v>82</v>
      </c>
      <c r="G5" t="s">
        <v>90</v>
      </c>
      <c r="H5" t="s">
        <v>101</v>
      </c>
      <c r="I5" t="s">
        <v>84</v>
      </c>
      <c r="J5" t="s">
        <v>92</v>
      </c>
      <c r="K5" t="s">
        <v>102</v>
      </c>
      <c r="L5" s="12" t="s">
        <v>52</v>
      </c>
      <c r="M5" s="16" t="s">
        <v>255</v>
      </c>
    </row>
    <row r="6" spans="1:13" ht="58" x14ac:dyDescent="0.35">
      <c r="A6" t="s">
        <v>103</v>
      </c>
      <c r="B6" t="s">
        <v>104</v>
      </c>
      <c r="C6" s="11" t="s">
        <v>51</v>
      </c>
      <c r="D6" t="s">
        <v>105</v>
      </c>
      <c r="E6" t="s">
        <v>89</v>
      </c>
      <c r="F6" t="s">
        <v>82</v>
      </c>
      <c r="G6" t="s">
        <v>90</v>
      </c>
      <c r="H6" t="s">
        <v>106</v>
      </c>
      <c r="I6" t="s">
        <v>107</v>
      </c>
      <c r="J6" t="s">
        <v>92</v>
      </c>
      <c r="K6" t="s">
        <v>108</v>
      </c>
      <c r="L6" s="12" t="s">
        <v>52</v>
      </c>
      <c r="M6" s="16" t="s">
        <v>256</v>
      </c>
    </row>
    <row r="7" spans="1:13" ht="29" x14ac:dyDescent="0.35">
      <c r="A7" t="s">
        <v>103</v>
      </c>
      <c r="B7" t="s">
        <v>109</v>
      </c>
      <c r="C7" s="12" t="s">
        <v>52</v>
      </c>
      <c r="D7" t="s">
        <v>110</v>
      </c>
      <c r="E7" t="s">
        <v>111</v>
      </c>
      <c r="F7" t="s">
        <v>112</v>
      </c>
      <c r="G7" t="s">
        <v>113</v>
      </c>
      <c r="H7" t="s">
        <v>114</v>
      </c>
      <c r="I7" t="s">
        <v>115</v>
      </c>
      <c r="J7" t="s">
        <v>76</v>
      </c>
      <c r="K7" t="s">
        <v>116</v>
      </c>
      <c r="L7" s="13" t="s">
        <v>53</v>
      </c>
      <c r="M7" s="16" t="s">
        <v>257</v>
      </c>
    </row>
    <row r="8" spans="1:13" ht="29" x14ac:dyDescent="0.35">
      <c r="A8" t="s">
        <v>79</v>
      </c>
      <c r="B8" t="s">
        <v>117</v>
      </c>
      <c r="C8" s="12" t="s">
        <v>52</v>
      </c>
      <c r="D8" t="s">
        <v>118</v>
      </c>
      <c r="E8" t="s">
        <v>111</v>
      </c>
      <c r="F8" t="s">
        <v>82</v>
      </c>
      <c r="G8" t="s">
        <v>90</v>
      </c>
      <c r="H8" t="s">
        <v>119</v>
      </c>
      <c r="I8" t="s">
        <v>84</v>
      </c>
      <c r="J8" t="s">
        <v>92</v>
      </c>
      <c r="K8" t="s">
        <v>120</v>
      </c>
      <c r="L8" s="12" t="s">
        <v>52</v>
      </c>
      <c r="M8" s="16" t="s">
        <v>258</v>
      </c>
    </row>
    <row r="9" spans="1:13" ht="43.5" x14ac:dyDescent="0.35">
      <c r="A9" t="s">
        <v>94</v>
      </c>
      <c r="B9" t="s">
        <v>121</v>
      </c>
      <c r="C9" s="12" t="s">
        <v>52</v>
      </c>
      <c r="D9" t="s">
        <v>122</v>
      </c>
      <c r="E9" t="s">
        <v>123</v>
      </c>
      <c r="F9" t="s">
        <v>82</v>
      </c>
      <c r="G9" t="s">
        <v>124</v>
      </c>
      <c r="H9" t="s">
        <v>125</v>
      </c>
      <c r="I9" t="s">
        <v>107</v>
      </c>
      <c r="J9" t="s">
        <v>85</v>
      </c>
      <c r="K9" t="s">
        <v>126</v>
      </c>
      <c r="L9" s="13" t="s">
        <v>53</v>
      </c>
      <c r="M9" s="16" t="s">
        <v>259</v>
      </c>
    </row>
    <row r="10" spans="1:13" ht="58" x14ac:dyDescent="0.35">
      <c r="A10" t="s">
        <v>103</v>
      </c>
      <c r="B10" t="s">
        <v>127</v>
      </c>
      <c r="C10" s="11" t="s">
        <v>51</v>
      </c>
      <c r="D10" t="s">
        <v>128</v>
      </c>
      <c r="E10" t="s">
        <v>71</v>
      </c>
      <c r="F10" t="s">
        <v>82</v>
      </c>
      <c r="G10" t="s">
        <v>90</v>
      </c>
      <c r="H10" t="s">
        <v>129</v>
      </c>
      <c r="I10" t="s">
        <v>84</v>
      </c>
      <c r="J10" t="s">
        <v>92</v>
      </c>
      <c r="K10" t="s">
        <v>130</v>
      </c>
      <c r="L10" s="12" t="s">
        <v>52</v>
      </c>
      <c r="M10" s="16" t="s">
        <v>260</v>
      </c>
    </row>
    <row r="11" spans="1:13" ht="29" x14ac:dyDescent="0.35">
      <c r="A11" t="s">
        <v>79</v>
      </c>
      <c r="B11" t="s">
        <v>131</v>
      </c>
      <c r="C11" s="11" t="s">
        <v>51</v>
      </c>
      <c r="D11" t="s">
        <v>132</v>
      </c>
      <c r="E11" t="s">
        <v>111</v>
      </c>
      <c r="F11" t="s">
        <v>82</v>
      </c>
      <c r="G11" t="s">
        <v>90</v>
      </c>
      <c r="H11" t="s">
        <v>133</v>
      </c>
      <c r="I11" t="s">
        <v>107</v>
      </c>
      <c r="J11" t="s">
        <v>76</v>
      </c>
      <c r="K11" t="s">
        <v>134</v>
      </c>
      <c r="L11" s="13" t="s">
        <v>53</v>
      </c>
      <c r="M11" s="16" t="s">
        <v>261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selection activeCell="D13" sqref="D13"/>
    </sheetView>
  </sheetViews>
  <sheetFormatPr defaultRowHeight="14.5" x14ac:dyDescent="0.35"/>
  <cols>
    <col min="1" max="1" width="34.08984375" customWidth="1"/>
    <col min="2" max="2" width="48.36328125" customWidth="1"/>
    <col min="3" max="3" width="25.36328125" customWidth="1"/>
    <col min="4" max="4" width="18.08984375" customWidth="1"/>
    <col min="5" max="5" width="13.81640625" customWidth="1"/>
    <col min="7" max="7" width="14.08984375" customWidth="1"/>
  </cols>
  <sheetData>
    <row r="1" spans="1:7" x14ac:dyDescent="0.35">
      <c r="A1" s="10" t="s">
        <v>135</v>
      </c>
      <c r="B1" s="10" t="s">
        <v>136</v>
      </c>
      <c r="C1" s="10" t="s">
        <v>137</v>
      </c>
      <c r="D1" s="10" t="s">
        <v>138</v>
      </c>
      <c r="E1" s="10" t="s">
        <v>139</v>
      </c>
      <c r="F1" s="10" t="s">
        <v>140</v>
      </c>
      <c r="G1" s="10" t="s">
        <v>141</v>
      </c>
    </row>
    <row r="2" spans="1:7" x14ac:dyDescent="0.35">
      <c r="A2" t="s">
        <v>142</v>
      </c>
      <c r="B2" t="s">
        <v>143</v>
      </c>
      <c r="C2" s="18">
        <v>150000</v>
      </c>
      <c r="D2" s="18">
        <v>25000</v>
      </c>
      <c r="E2" s="19">
        <v>0.6</v>
      </c>
      <c r="F2">
        <v>1.2</v>
      </c>
      <c r="G2" t="s">
        <v>51</v>
      </c>
    </row>
    <row r="3" spans="1:7" x14ac:dyDescent="0.35">
      <c r="A3" t="s">
        <v>144</v>
      </c>
      <c r="B3" t="s">
        <v>145</v>
      </c>
      <c r="C3" s="18">
        <v>300000</v>
      </c>
      <c r="D3" s="18">
        <v>75000</v>
      </c>
      <c r="E3" s="19">
        <v>0.45</v>
      </c>
      <c r="F3">
        <v>2</v>
      </c>
      <c r="G3" t="s">
        <v>51</v>
      </c>
    </row>
    <row r="4" spans="1:7" x14ac:dyDescent="0.35">
      <c r="A4" t="s">
        <v>146</v>
      </c>
      <c r="B4" t="s">
        <v>147</v>
      </c>
      <c r="C4" s="18">
        <v>250000</v>
      </c>
      <c r="D4" s="18">
        <v>50000</v>
      </c>
      <c r="E4" s="19">
        <v>0.55000000000000004</v>
      </c>
      <c r="F4">
        <v>1.5</v>
      </c>
      <c r="G4" t="s">
        <v>51</v>
      </c>
    </row>
    <row r="5" spans="1:7" x14ac:dyDescent="0.35">
      <c r="A5" t="s">
        <v>148</v>
      </c>
      <c r="B5" t="s">
        <v>149</v>
      </c>
      <c r="C5" s="18">
        <v>200000</v>
      </c>
      <c r="D5" s="18">
        <v>40000</v>
      </c>
      <c r="E5" s="19">
        <v>0.5</v>
      </c>
      <c r="F5">
        <v>1.8</v>
      </c>
      <c r="G5" t="s">
        <v>52</v>
      </c>
    </row>
    <row r="6" spans="1:7" x14ac:dyDescent="0.35">
      <c r="A6" t="s">
        <v>150</v>
      </c>
      <c r="B6" t="s">
        <v>151</v>
      </c>
      <c r="C6" s="18">
        <v>500000</v>
      </c>
      <c r="D6" s="18">
        <v>30000</v>
      </c>
      <c r="E6" s="19">
        <v>0.7</v>
      </c>
      <c r="F6">
        <v>3</v>
      </c>
      <c r="G6" t="s">
        <v>52</v>
      </c>
    </row>
    <row r="7" spans="1:7" x14ac:dyDescent="0.35">
      <c r="A7" t="s">
        <v>152</v>
      </c>
      <c r="B7" t="s">
        <v>153</v>
      </c>
      <c r="C7" s="18">
        <v>100000</v>
      </c>
      <c r="D7" s="18">
        <v>15000</v>
      </c>
      <c r="E7" s="19">
        <v>0.4</v>
      </c>
      <c r="F7">
        <v>1</v>
      </c>
      <c r="G7" t="s">
        <v>52</v>
      </c>
    </row>
    <row r="8" spans="1:7" x14ac:dyDescent="0.35">
      <c r="A8" t="s">
        <v>154</v>
      </c>
      <c r="B8" t="s">
        <v>155</v>
      </c>
      <c r="C8" s="18">
        <v>50000</v>
      </c>
      <c r="D8" s="18">
        <v>20000</v>
      </c>
      <c r="E8" s="19">
        <v>0.35</v>
      </c>
      <c r="F8">
        <v>1.5</v>
      </c>
      <c r="G8" t="s">
        <v>53</v>
      </c>
    </row>
    <row r="9" spans="1:7" x14ac:dyDescent="0.35">
      <c r="A9" t="s">
        <v>156</v>
      </c>
      <c r="B9" t="s">
        <v>157</v>
      </c>
      <c r="C9" s="18">
        <v>75000</v>
      </c>
      <c r="D9" s="18">
        <v>10000</v>
      </c>
      <c r="E9" s="19">
        <v>0.3</v>
      </c>
      <c r="F9">
        <v>1.8</v>
      </c>
      <c r="G9" t="s">
        <v>53</v>
      </c>
    </row>
    <row r="10" spans="1:7" x14ac:dyDescent="0.35">
      <c r="A10" t="s">
        <v>158</v>
      </c>
      <c r="B10" t="s">
        <v>159</v>
      </c>
      <c r="C10" s="18">
        <v>200000</v>
      </c>
      <c r="D10" s="18">
        <v>25000</v>
      </c>
      <c r="E10" s="19">
        <v>0.5</v>
      </c>
      <c r="F10">
        <v>2.5</v>
      </c>
      <c r="G10" t="s">
        <v>53</v>
      </c>
    </row>
    <row r="12" spans="1:7" x14ac:dyDescent="0.35">
      <c r="B12" s="2" t="s">
        <v>160</v>
      </c>
      <c r="C12" s="18">
        <f>SUM(C2:C10)</f>
        <v>1825000</v>
      </c>
      <c r="D12" s="18">
        <f>SUM(D2:D10)</f>
        <v>290000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Views>
    <sheetView topLeftCell="A15" workbookViewId="0">
      <selection activeCell="E4" sqref="E4"/>
    </sheetView>
  </sheetViews>
  <sheetFormatPr defaultRowHeight="14.5" x14ac:dyDescent="0.35"/>
  <cols>
    <col min="1" max="1" width="31.453125" customWidth="1"/>
    <col min="2" max="2" width="23.453125" customWidth="1"/>
    <col min="5" max="5" width="69.26953125" customWidth="1"/>
    <col min="6" max="6" width="10.26953125" bestFit="1" customWidth="1"/>
  </cols>
  <sheetData>
    <row r="1" spans="1:6" ht="18.5" x14ac:dyDescent="0.45">
      <c r="A1" s="32" t="s">
        <v>161</v>
      </c>
      <c r="B1" s="24"/>
      <c r="C1" s="24"/>
      <c r="D1" s="24"/>
      <c r="E1" s="24"/>
    </row>
    <row r="3" spans="1:6" x14ac:dyDescent="0.35">
      <c r="A3" s="2" t="s">
        <v>162</v>
      </c>
      <c r="B3" s="24" t="s">
        <v>163</v>
      </c>
      <c r="C3" s="24"/>
      <c r="D3" s="24"/>
      <c r="E3" s="24"/>
    </row>
    <row r="5" spans="1:6" ht="15.5" x14ac:dyDescent="0.35">
      <c r="A5" s="31" t="s">
        <v>164</v>
      </c>
      <c r="B5" s="24"/>
      <c r="C5" s="24"/>
      <c r="D5" s="24"/>
      <c r="E5" s="24"/>
    </row>
    <row r="6" spans="1:6" x14ac:dyDescent="0.35">
      <c r="A6" t="s">
        <v>165</v>
      </c>
      <c r="B6" s="20">
        <v>150000</v>
      </c>
    </row>
    <row r="7" spans="1:6" x14ac:dyDescent="0.35">
      <c r="A7" t="s">
        <v>166</v>
      </c>
      <c r="B7" s="20">
        <v>25000</v>
      </c>
    </row>
    <row r="9" spans="1:6" ht="15.5" x14ac:dyDescent="0.35">
      <c r="A9" s="31" t="s">
        <v>167</v>
      </c>
      <c r="B9" s="24"/>
      <c r="C9" s="24"/>
      <c r="D9" s="24"/>
      <c r="E9" s="24"/>
    </row>
    <row r="10" spans="1:6" x14ac:dyDescent="0.35">
      <c r="A10" t="s">
        <v>168</v>
      </c>
      <c r="B10" s="20">
        <v>500000</v>
      </c>
    </row>
    <row r="11" spans="1:6" x14ac:dyDescent="0.35">
      <c r="A11" t="s">
        <v>169</v>
      </c>
      <c r="B11" s="20">
        <v>200000</v>
      </c>
    </row>
    <row r="12" spans="1:6" x14ac:dyDescent="0.35">
      <c r="A12" t="s">
        <v>170</v>
      </c>
      <c r="B12" s="21">
        <v>300000</v>
      </c>
    </row>
    <row r="14" spans="1:6" ht="15.5" x14ac:dyDescent="0.35">
      <c r="A14" s="31" t="s">
        <v>171</v>
      </c>
      <c r="B14" s="24"/>
      <c r="C14" s="24"/>
      <c r="D14" s="24"/>
      <c r="E14" s="24"/>
    </row>
    <row r="15" spans="1:6" x14ac:dyDescent="0.35">
      <c r="A15" s="2" t="s">
        <v>172</v>
      </c>
      <c r="B15" s="2" t="s">
        <v>173</v>
      </c>
      <c r="C15" s="2" t="s">
        <v>174</v>
      </c>
      <c r="D15" s="2" t="s">
        <v>175</v>
      </c>
      <c r="E15" s="2" t="s">
        <v>176</v>
      </c>
      <c r="F15" s="2" t="s">
        <v>177</v>
      </c>
    </row>
    <row r="16" spans="1:6" x14ac:dyDescent="0.35">
      <c r="A16">
        <v>1</v>
      </c>
      <c r="B16" s="20">
        <v>150000</v>
      </c>
      <c r="C16" s="20">
        <v>25000</v>
      </c>
      <c r="D16" s="20">
        <v>175000</v>
      </c>
      <c r="E16" s="20">
        <v>300000</v>
      </c>
      <c r="F16" s="22">
        <v>125000</v>
      </c>
    </row>
    <row r="17" spans="1:6" x14ac:dyDescent="0.35">
      <c r="A17">
        <v>2</v>
      </c>
      <c r="C17" s="20">
        <v>25000</v>
      </c>
      <c r="D17" s="20">
        <v>200000</v>
      </c>
      <c r="E17" s="20">
        <v>300000</v>
      </c>
      <c r="F17" s="22">
        <v>400000</v>
      </c>
    </row>
    <row r="18" spans="1:6" x14ac:dyDescent="0.35">
      <c r="A18">
        <v>3</v>
      </c>
      <c r="C18" s="20">
        <v>25000</v>
      </c>
      <c r="D18" s="20">
        <v>225000</v>
      </c>
      <c r="E18" s="20">
        <v>300000</v>
      </c>
      <c r="F18" s="22">
        <v>675000</v>
      </c>
    </row>
    <row r="19" spans="1:6" x14ac:dyDescent="0.35">
      <c r="A19">
        <v>4</v>
      </c>
      <c r="C19" s="20">
        <v>25000</v>
      </c>
      <c r="D19" s="20">
        <v>250000</v>
      </c>
      <c r="E19" s="20">
        <v>300000</v>
      </c>
      <c r="F19" s="22">
        <v>950000</v>
      </c>
    </row>
    <row r="20" spans="1:6" x14ac:dyDescent="0.35">
      <c r="A20">
        <v>5</v>
      </c>
      <c r="C20" s="20">
        <v>25000</v>
      </c>
      <c r="D20" s="20">
        <v>275000</v>
      </c>
      <c r="E20" s="20">
        <v>300000</v>
      </c>
      <c r="F20" s="22">
        <v>1225000</v>
      </c>
    </row>
    <row r="22" spans="1:6" ht="15.5" x14ac:dyDescent="0.35">
      <c r="A22" s="31" t="s">
        <v>179</v>
      </c>
      <c r="B22" s="24"/>
      <c r="C22" s="24"/>
      <c r="D22" s="24"/>
      <c r="E22" s="24"/>
    </row>
    <row r="23" spans="1:6" x14ac:dyDescent="0.35">
      <c r="A23" s="24" t="s">
        <v>180</v>
      </c>
      <c r="B23" s="24"/>
      <c r="C23" s="24"/>
      <c r="D23" s="24"/>
      <c r="E23" s="24"/>
    </row>
  </sheetData>
  <mergeCells count="7">
    <mergeCell ref="A22:E22"/>
    <mergeCell ref="A23:E23"/>
    <mergeCell ref="A1:E1"/>
    <mergeCell ref="B3:E3"/>
    <mergeCell ref="A5:E5"/>
    <mergeCell ref="A9:E9"/>
    <mergeCell ref="A14:E14"/>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Views>
    <sheetView topLeftCell="A15" workbookViewId="0">
      <selection activeCell="A23" sqref="A23:E23"/>
    </sheetView>
  </sheetViews>
  <sheetFormatPr defaultRowHeight="14.5" x14ac:dyDescent="0.35"/>
  <cols>
    <col min="1" max="1" width="39.7265625" customWidth="1"/>
    <col min="6" max="6" width="10.26953125" bestFit="1" customWidth="1"/>
  </cols>
  <sheetData>
    <row r="1" spans="1:6" ht="18.5" x14ac:dyDescent="0.45">
      <c r="A1" s="32" t="s">
        <v>181</v>
      </c>
      <c r="B1" s="24"/>
      <c r="C1" s="24"/>
      <c r="D1" s="24"/>
      <c r="E1" s="24"/>
    </row>
    <row r="3" spans="1:6" x14ac:dyDescent="0.35">
      <c r="A3" s="2" t="s">
        <v>162</v>
      </c>
      <c r="B3" s="24" t="s">
        <v>182</v>
      </c>
      <c r="C3" s="24"/>
      <c r="D3" s="24"/>
      <c r="E3" s="24"/>
    </row>
    <row r="5" spans="1:6" ht="15.5" x14ac:dyDescent="0.35">
      <c r="A5" s="31" t="s">
        <v>164</v>
      </c>
      <c r="B5" s="24"/>
      <c r="C5" s="24"/>
      <c r="D5" s="24"/>
      <c r="E5" s="24"/>
    </row>
    <row r="6" spans="1:6" x14ac:dyDescent="0.35">
      <c r="A6" t="s">
        <v>165</v>
      </c>
      <c r="B6" s="20">
        <v>300000</v>
      </c>
    </row>
    <row r="7" spans="1:6" x14ac:dyDescent="0.35">
      <c r="A7" t="s">
        <v>166</v>
      </c>
      <c r="B7" s="20">
        <v>75000</v>
      </c>
    </row>
    <row r="9" spans="1:6" ht="15.5" x14ac:dyDescent="0.35">
      <c r="A9" s="31" t="s">
        <v>167</v>
      </c>
      <c r="B9" s="24"/>
      <c r="C9" s="24"/>
      <c r="D9" s="24"/>
      <c r="E9" s="24"/>
    </row>
    <row r="10" spans="1:6" x14ac:dyDescent="0.35">
      <c r="A10" t="s">
        <v>168</v>
      </c>
      <c r="B10" s="20">
        <v>750000</v>
      </c>
    </row>
    <row r="11" spans="1:6" x14ac:dyDescent="0.35">
      <c r="A11" t="s">
        <v>169</v>
      </c>
      <c r="B11" s="20">
        <v>412500</v>
      </c>
    </row>
    <row r="12" spans="1:6" x14ac:dyDescent="0.35">
      <c r="A12" t="s">
        <v>170</v>
      </c>
      <c r="B12" s="21">
        <v>337500</v>
      </c>
    </row>
    <row r="14" spans="1:6" ht="15.5" x14ac:dyDescent="0.35">
      <c r="A14" s="31" t="s">
        <v>171</v>
      </c>
      <c r="B14" s="24"/>
      <c r="C14" s="24"/>
      <c r="D14" s="24"/>
      <c r="E14" s="24"/>
    </row>
    <row r="15" spans="1:6" x14ac:dyDescent="0.35">
      <c r="A15" s="2" t="s">
        <v>172</v>
      </c>
      <c r="B15" s="2" t="s">
        <v>173</v>
      </c>
      <c r="C15" s="2" t="s">
        <v>174</v>
      </c>
      <c r="D15" s="2" t="s">
        <v>175</v>
      </c>
      <c r="E15" s="2" t="s">
        <v>176</v>
      </c>
      <c r="F15" s="2" t="s">
        <v>177</v>
      </c>
    </row>
    <row r="16" spans="1:6" x14ac:dyDescent="0.35">
      <c r="A16">
        <v>1</v>
      </c>
      <c r="B16" s="20">
        <v>300000</v>
      </c>
      <c r="C16" s="20">
        <v>75000</v>
      </c>
      <c r="D16" s="20">
        <v>375000</v>
      </c>
      <c r="E16" s="20">
        <v>337500</v>
      </c>
      <c r="F16" s="20">
        <v>-37500</v>
      </c>
    </row>
    <row r="17" spans="1:6" x14ac:dyDescent="0.35">
      <c r="A17">
        <v>2</v>
      </c>
      <c r="C17" s="20">
        <v>75000</v>
      </c>
      <c r="D17" s="20">
        <v>450000</v>
      </c>
      <c r="E17" s="20">
        <v>337500</v>
      </c>
      <c r="F17" s="22">
        <v>225000</v>
      </c>
    </row>
    <row r="18" spans="1:6" x14ac:dyDescent="0.35">
      <c r="A18">
        <v>3</v>
      </c>
      <c r="C18" s="20">
        <v>75000</v>
      </c>
      <c r="D18" s="20">
        <v>525000</v>
      </c>
      <c r="E18" s="20">
        <v>337500</v>
      </c>
      <c r="F18" s="22">
        <v>487500</v>
      </c>
    </row>
    <row r="19" spans="1:6" x14ac:dyDescent="0.35">
      <c r="A19">
        <v>4</v>
      </c>
      <c r="C19" s="20">
        <v>75000</v>
      </c>
      <c r="D19" s="20">
        <v>600000</v>
      </c>
      <c r="E19" s="20">
        <v>337500</v>
      </c>
      <c r="F19" s="22">
        <v>750000</v>
      </c>
    </row>
    <row r="20" spans="1:6" x14ac:dyDescent="0.35">
      <c r="A20">
        <v>5</v>
      </c>
      <c r="C20" s="20">
        <v>75000</v>
      </c>
      <c r="D20" s="20">
        <v>675000</v>
      </c>
      <c r="E20" s="20">
        <v>337500</v>
      </c>
      <c r="F20" s="22">
        <v>1012500</v>
      </c>
    </row>
    <row r="22" spans="1:6" ht="15.5" x14ac:dyDescent="0.35">
      <c r="A22" s="31" t="s">
        <v>179</v>
      </c>
      <c r="B22" s="24"/>
      <c r="C22" s="24"/>
      <c r="D22" s="24"/>
      <c r="E22" s="24"/>
    </row>
    <row r="23" spans="1:6" x14ac:dyDescent="0.35">
      <c r="A23" s="24" t="s">
        <v>183</v>
      </c>
      <c r="B23" s="24"/>
      <c r="C23" s="24"/>
      <c r="D23" s="24"/>
      <c r="E23" s="24"/>
    </row>
  </sheetData>
  <mergeCells count="7">
    <mergeCell ref="A22:E22"/>
    <mergeCell ref="A23:E23"/>
    <mergeCell ref="A1:E1"/>
    <mergeCell ref="B3:E3"/>
    <mergeCell ref="A5:E5"/>
    <mergeCell ref="A9:E9"/>
    <mergeCell ref="A14:E1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Views>
    <sheetView topLeftCell="A9" workbookViewId="0">
      <selection activeCell="F21" sqref="F21"/>
    </sheetView>
  </sheetViews>
  <sheetFormatPr defaultRowHeight="14.5" x14ac:dyDescent="0.35"/>
  <cols>
    <col min="1" max="1" width="34.7265625" customWidth="1"/>
    <col min="6" max="6" width="10.26953125" bestFit="1" customWidth="1"/>
  </cols>
  <sheetData>
    <row r="1" spans="1:6" ht="18.5" x14ac:dyDescent="0.45">
      <c r="A1" s="32" t="s">
        <v>184</v>
      </c>
      <c r="B1" s="24"/>
      <c r="C1" s="24"/>
      <c r="D1" s="24"/>
      <c r="E1" s="24"/>
    </row>
    <row r="3" spans="1:6" x14ac:dyDescent="0.35">
      <c r="A3" s="2" t="s">
        <v>162</v>
      </c>
      <c r="B3" s="24" t="s">
        <v>185</v>
      </c>
      <c r="C3" s="24"/>
      <c r="D3" s="24"/>
      <c r="E3" s="24"/>
    </row>
    <row r="5" spans="1:6" ht="15.5" x14ac:dyDescent="0.35">
      <c r="A5" s="31" t="s">
        <v>164</v>
      </c>
      <c r="B5" s="24"/>
      <c r="C5" s="24"/>
      <c r="D5" s="24"/>
      <c r="E5" s="24"/>
    </row>
    <row r="6" spans="1:6" x14ac:dyDescent="0.35">
      <c r="A6" t="s">
        <v>165</v>
      </c>
      <c r="B6" s="20">
        <v>250000</v>
      </c>
    </row>
    <row r="7" spans="1:6" x14ac:dyDescent="0.35">
      <c r="A7" t="s">
        <v>166</v>
      </c>
      <c r="B7" s="20">
        <v>50000</v>
      </c>
    </row>
    <row r="9" spans="1:6" ht="15.5" x14ac:dyDescent="0.35">
      <c r="A9" s="31" t="s">
        <v>167</v>
      </c>
      <c r="B9" s="24"/>
      <c r="C9" s="24"/>
      <c r="D9" s="24"/>
      <c r="E9" s="24"/>
    </row>
    <row r="10" spans="1:6" x14ac:dyDescent="0.35">
      <c r="A10" t="s">
        <v>168</v>
      </c>
      <c r="B10" s="20">
        <v>600000</v>
      </c>
    </row>
    <row r="11" spans="1:6" x14ac:dyDescent="0.35">
      <c r="A11" t="s">
        <v>169</v>
      </c>
      <c r="B11" s="20">
        <v>270000</v>
      </c>
    </row>
    <row r="12" spans="1:6" x14ac:dyDescent="0.35">
      <c r="A12" t="s">
        <v>170</v>
      </c>
      <c r="B12" s="21">
        <v>330000</v>
      </c>
    </row>
    <row r="14" spans="1:6" ht="15.5" x14ac:dyDescent="0.35">
      <c r="A14" s="31" t="s">
        <v>171</v>
      </c>
      <c r="B14" s="24"/>
      <c r="C14" s="24"/>
      <c r="D14" s="24"/>
      <c r="E14" s="24"/>
    </row>
    <row r="15" spans="1:6" x14ac:dyDescent="0.35">
      <c r="A15" s="2" t="s">
        <v>172</v>
      </c>
      <c r="B15" s="2" t="s">
        <v>173</v>
      </c>
      <c r="C15" s="2" t="s">
        <v>174</v>
      </c>
      <c r="D15" s="2" t="s">
        <v>175</v>
      </c>
      <c r="E15" s="2" t="s">
        <v>176</v>
      </c>
      <c r="F15" s="2" t="s">
        <v>177</v>
      </c>
    </row>
    <row r="16" spans="1:6" x14ac:dyDescent="0.35">
      <c r="A16">
        <v>1</v>
      </c>
      <c r="B16" s="20">
        <v>250000</v>
      </c>
      <c r="C16" s="20">
        <v>50000</v>
      </c>
      <c r="D16" s="20">
        <v>300000</v>
      </c>
      <c r="E16" s="20">
        <v>330000</v>
      </c>
      <c r="F16" s="22">
        <v>30000</v>
      </c>
    </row>
    <row r="17" spans="1:6" x14ac:dyDescent="0.35">
      <c r="A17">
        <v>2</v>
      </c>
      <c r="C17" s="20">
        <v>50000</v>
      </c>
      <c r="D17" s="20">
        <v>350000</v>
      </c>
      <c r="E17" s="20">
        <v>330000</v>
      </c>
      <c r="F17" s="22">
        <v>310000</v>
      </c>
    </row>
    <row r="18" spans="1:6" x14ac:dyDescent="0.35">
      <c r="A18">
        <v>3</v>
      </c>
      <c r="C18" s="20">
        <v>50000</v>
      </c>
      <c r="D18" s="20">
        <v>400000</v>
      </c>
      <c r="E18" s="20">
        <v>330000</v>
      </c>
      <c r="F18" s="22">
        <v>590000</v>
      </c>
    </row>
    <row r="19" spans="1:6" x14ac:dyDescent="0.35">
      <c r="A19">
        <v>4</v>
      </c>
      <c r="C19" s="20">
        <v>50000</v>
      </c>
      <c r="D19" s="20">
        <v>450000</v>
      </c>
      <c r="E19" s="20">
        <v>330000</v>
      </c>
      <c r="F19" s="22">
        <v>870000</v>
      </c>
    </row>
    <row r="20" spans="1:6" x14ac:dyDescent="0.35">
      <c r="A20">
        <v>5</v>
      </c>
      <c r="C20" s="20">
        <v>50000</v>
      </c>
      <c r="D20" s="20">
        <v>500000</v>
      </c>
      <c r="E20" s="20">
        <v>330000</v>
      </c>
      <c r="F20" s="22">
        <v>1150000</v>
      </c>
    </row>
    <row r="22" spans="1:6" ht="15.5" x14ac:dyDescent="0.35">
      <c r="A22" s="31" t="s">
        <v>179</v>
      </c>
      <c r="B22" s="24"/>
      <c r="C22" s="24"/>
      <c r="D22" s="24"/>
      <c r="E22" s="24"/>
    </row>
    <row r="23" spans="1:6" x14ac:dyDescent="0.35">
      <c r="A23" s="24" t="s">
        <v>186</v>
      </c>
      <c r="B23" s="24"/>
      <c r="C23" s="24"/>
      <c r="D23" s="24"/>
      <c r="E23" s="24"/>
    </row>
  </sheetData>
  <mergeCells count="7">
    <mergeCell ref="A22:E22"/>
    <mergeCell ref="A23:E23"/>
    <mergeCell ref="A1:E1"/>
    <mergeCell ref="B3:E3"/>
    <mergeCell ref="A5:E5"/>
    <mergeCell ref="A9:E9"/>
    <mergeCell ref="A14:E14"/>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Views>
    <sheetView topLeftCell="A6" workbookViewId="0">
      <selection activeCell="F20" sqref="F20"/>
    </sheetView>
  </sheetViews>
  <sheetFormatPr defaultRowHeight="14.5" x14ac:dyDescent="0.35"/>
  <cols>
    <col min="1" max="1" width="33.453125" customWidth="1"/>
  </cols>
  <sheetData>
    <row r="1" spans="1:6" ht="18.5" x14ac:dyDescent="0.45">
      <c r="A1" s="32" t="s">
        <v>187</v>
      </c>
      <c r="B1" s="24"/>
      <c r="C1" s="24"/>
      <c r="D1" s="24"/>
      <c r="E1" s="24"/>
    </row>
    <row r="3" spans="1:6" x14ac:dyDescent="0.35">
      <c r="A3" s="2" t="s">
        <v>162</v>
      </c>
      <c r="B3" s="24" t="s">
        <v>188</v>
      </c>
      <c r="C3" s="24"/>
      <c r="D3" s="24"/>
      <c r="E3" s="24"/>
    </row>
    <row r="5" spans="1:6" ht="15.5" x14ac:dyDescent="0.35">
      <c r="A5" s="31" t="s">
        <v>164</v>
      </c>
      <c r="B5" s="24"/>
      <c r="C5" s="24"/>
      <c r="D5" s="24"/>
      <c r="E5" s="24"/>
    </row>
    <row r="6" spans="1:6" x14ac:dyDescent="0.35">
      <c r="A6" t="s">
        <v>165</v>
      </c>
      <c r="B6" s="20">
        <v>200000</v>
      </c>
    </row>
    <row r="7" spans="1:6" x14ac:dyDescent="0.35">
      <c r="A7" t="s">
        <v>166</v>
      </c>
      <c r="B7" s="20">
        <v>40000</v>
      </c>
    </row>
    <row r="9" spans="1:6" ht="15.5" x14ac:dyDescent="0.35">
      <c r="A9" s="31" t="s">
        <v>167</v>
      </c>
      <c r="B9" s="24"/>
      <c r="C9" s="24"/>
      <c r="D9" s="24"/>
      <c r="E9" s="24"/>
    </row>
    <row r="10" spans="1:6" x14ac:dyDescent="0.35">
      <c r="A10" t="s">
        <v>168</v>
      </c>
      <c r="B10" s="20">
        <v>450000</v>
      </c>
    </row>
    <row r="11" spans="1:6" x14ac:dyDescent="0.35">
      <c r="A11" t="s">
        <v>169</v>
      </c>
      <c r="B11" s="20">
        <v>225000</v>
      </c>
    </row>
    <row r="12" spans="1:6" x14ac:dyDescent="0.35">
      <c r="A12" t="s">
        <v>170</v>
      </c>
      <c r="B12" s="21">
        <v>225000</v>
      </c>
    </row>
    <row r="14" spans="1:6" ht="15.5" x14ac:dyDescent="0.35">
      <c r="A14" s="31" t="s">
        <v>171</v>
      </c>
      <c r="B14" s="24"/>
      <c r="C14" s="24"/>
      <c r="D14" s="24"/>
      <c r="E14" s="24"/>
    </row>
    <row r="15" spans="1:6" x14ac:dyDescent="0.35">
      <c r="A15" s="2" t="s">
        <v>172</v>
      </c>
      <c r="B15" s="2" t="s">
        <v>173</v>
      </c>
      <c r="C15" s="2" t="s">
        <v>174</v>
      </c>
      <c r="D15" s="2" t="s">
        <v>175</v>
      </c>
      <c r="E15" s="2" t="s">
        <v>176</v>
      </c>
      <c r="F15" s="2" t="s">
        <v>177</v>
      </c>
    </row>
    <row r="16" spans="1:6" x14ac:dyDescent="0.35">
      <c r="A16">
        <v>1</v>
      </c>
      <c r="B16" s="20">
        <v>200000</v>
      </c>
      <c r="C16" s="20">
        <v>40000</v>
      </c>
      <c r="D16" s="20">
        <v>240000</v>
      </c>
      <c r="E16" s="20">
        <v>225000</v>
      </c>
      <c r="F16" s="20">
        <v>-15000</v>
      </c>
    </row>
    <row r="17" spans="1:6" x14ac:dyDescent="0.35">
      <c r="A17">
        <v>2</v>
      </c>
      <c r="C17" s="20">
        <v>40000</v>
      </c>
      <c r="D17" s="20">
        <v>280000</v>
      </c>
      <c r="E17" s="20">
        <v>225000</v>
      </c>
      <c r="F17" s="22">
        <v>170000</v>
      </c>
    </row>
    <row r="18" spans="1:6" x14ac:dyDescent="0.35">
      <c r="A18">
        <v>3</v>
      </c>
      <c r="C18" s="20">
        <v>40000</v>
      </c>
      <c r="D18" s="20">
        <v>320000</v>
      </c>
      <c r="E18" s="20">
        <v>225000</v>
      </c>
      <c r="F18" s="22">
        <v>355000</v>
      </c>
    </row>
    <row r="19" spans="1:6" x14ac:dyDescent="0.35">
      <c r="A19">
        <v>4</v>
      </c>
      <c r="C19" s="20">
        <v>40000</v>
      </c>
      <c r="D19" s="20">
        <v>360000</v>
      </c>
      <c r="E19" s="20">
        <v>225000</v>
      </c>
      <c r="F19" s="22">
        <v>540000</v>
      </c>
    </row>
    <row r="20" spans="1:6" x14ac:dyDescent="0.35">
      <c r="A20">
        <v>5</v>
      </c>
      <c r="C20" s="20">
        <v>40000</v>
      </c>
      <c r="D20" s="20">
        <v>400000</v>
      </c>
      <c r="E20" s="20">
        <v>225000</v>
      </c>
      <c r="F20" s="22">
        <v>725000</v>
      </c>
    </row>
    <row r="22" spans="1:6" ht="15.5" x14ac:dyDescent="0.35">
      <c r="A22" s="31" t="s">
        <v>179</v>
      </c>
      <c r="B22" s="24"/>
      <c r="C22" s="24"/>
      <c r="D22" s="24"/>
      <c r="E22" s="24"/>
    </row>
    <row r="23" spans="1:6" x14ac:dyDescent="0.35">
      <c r="A23" s="24" t="s">
        <v>189</v>
      </c>
      <c r="B23" s="24"/>
      <c r="C23" s="24"/>
      <c r="D23" s="24"/>
      <c r="E23" s="24"/>
    </row>
  </sheetData>
  <mergeCells count="7">
    <mergeCell ref="A22:E22"/>
    <mergeCell ref="A23:E23"/>
    <mergeCell ref="A1:E1"/>
    <mergeCell ref="B3:E3"/>
    <mergeCell ref="A5:E5"/>
    <mergeCell ref="A9:E9"/>
    <mergeCell ref="A14:E14"/>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Views>
    <sheetView workbookViewId="0">
      <selection activeCell="D20" sqref="D20"/>
    </sheetView>
  </sheetViews>
  <sheetFormatPr defaultRowHeight="14.5" x14ac:dyDescent="0.35"/>
  <cols>
    <col min="1" max="1" width="33.36328125" bestFit="1" customWidth="1"/>
    <col min="2" max="2" width="10.26953125" bestFit="1" customWidth="1"/>
    <col min="6" max="6" width="10.26953125" bestFit="1" customWidth="1"/>
  </cols>
  <sheetData>
    <row r="1" spans="1:6" ht="18.5" x14ac:dyDescent="0.45">
      <c r="A1" s="32" t="s">
        <v>190</v>
      </c>
      <c r="B1" s="24"/>
      <c r="C1" s="24"/>
      <c r="D1" s="24"/>
      <c r="E1" s="24"/>
    </row>
    <row r="3" spans="1:6" x14ac:dyDescent="0.35">
      <c r="A3" s="2" t="s">
        <v>162</v>
      </c>
      <c r="B3" s="24" t="s">
        <v>191</v>
      </c>
      <c r="C3" s="24"/>
      <c r="D3" s="24"/>
      <c r="E3" s="24"/>
    </row>
    <row r="5" spans="1:6" ht="15.5" x14ac:dyDescent="0.35">
      <c r="A5" s="31" t="s">
        <v>164</v>
      </c>
      <c r="B5" s="24"/>
      <c r="C5" s="24"/>
      <c r="D5" s="24"/>
      <c r="E5" s="24"/>
    </row>
    <row r="6" spans="1:6" x14ac:dyDescent="0.35">
      <c r="A6" t="s">
        <v>165</v>
      </c>
      <c r="B6" s="20">
        <v>500000</v>
      </c>
    </row>
    <row r="7" spans="1:6" x14ac:dyDescent="0.35">
      <c r="A7" t="s">
        <v>166</v>
      </c>
      <c r="B7" s="20">
        <v>30000</v>
      </c>
    </row>
    <row r="9" spans="1:6" ht="15.5" x14ac:dyDescent="0.35">
      <c r="A9" s="31" t="s">
        <v>167</v>
      </c>
      <c r="B9" s="24"/>
      <c r="C9" s="24"/>
      <c r="D9" s="24"/>
      <c r="E9" s="24"/>
    </row>
    <row r="10" spans="1:6" x14ac:dyDescent="0.35">
      <c r="A10" t="s">
        <v>168</v>
      </c>
      <c r="B10" s="20">
        <v>1000000</v>
      </c>
    </row>
    <row r="11" spans="1:6" x14ac:dyDescent="0.35">
      <c r="A11" t="s">
        <v>169</v>
      </c>
      <c r="B11" s="20">
        <v>300000</v>
      </c>
    </row>
    <row r="12" spans="1:6" x14ac:dyDescent="0.35">
      <c r="A12" t="s">
        <v>170</v>
      </c>
      <c r="B12" s="21">
        <v>700000</v>
      </c>
    </row>
    <row r="14" spans="1:6" ht="15.5" x14ac:dyDescent="0.35">
      <c r="A14" s="31" t="s">
        <v>171</v>
      </c>
      <c r="B14" s="24"/>
      <c r="C14" s="24"/>
      <c r="D14" s="24"/>
      <c r="E14" s="24"/>
    </row>
    <row r="15" spans="1:6" x14ac:dyDescent="0.35">
      <c r="A15" s="2" t="s">
        <v>172</v>
      </c>
      <c r="B15" s="2" t="s">
        <v>173</v>
      </c>
      <c r="C15" s="2" t="s">
        <v>174</v>
      </c>
      <c r="D15" s="2" t="s">
        <v>175</v>
      </c>
      <c r="E15" s="2" t="s">
        <v>176</v>
      </c>
      <c r="F15" s="2" t="s">
        <v>177</v>
      </c>
    </row>
    <row r="16" spans="1:6" x14ac:dyDescent="0.35">
      <c r="A16">
        <v>1</v>
      </c>
      <c r="B16" s="20">
        <v>500000</v>
      </c>
      <c r="C16" s="20">
        <v>30000</v>
      </c>
      <c r="D16" s="20">
        <v>530000</v>
      </c>
      <c r="E16" s="20">
        <v>700000</v>
      </c>
      <c r="F16" s="22">
        <v>170000</v>
      </c>
    </row>
    <row r="17" spans="1:6" x14ac:dyDescent="0.35">
      <c r="A17">
        <v>2</v>
      </c>
      <c r="C17" s="20">
        <v>30000</v>
      </c>
      <c r="D17" s="20">
        <v>560000</v>
      </c>
      <c r="E17" s="20">
        <v>700000</v>
      </c>
      <c r="F17" s="22">
        <v>840000</v>
      </c>
    </row>
    <row r="18" spans="1:6" x14ac:dyDescent="0.35">
      <c r="A18">
        <v>3</v>
      </c>
      <c r="C18" s="20">
        <v>30000</v>
      </c>
      <c r="D18" s="20">
        <v>590000</v>
      </c>
      <c r="E18" s="20">
        <v>700000</v>
      </c>
      <c r="F18" s="22">
        <v>1510000</v>
      </c>
    </row>
    <row r="19" spans="1:6" x14ac:dyDescent="0.35">
      <c r="A19">
        <v>4</v>
      </c>
      <c r="C19" s="20">
        <v>30000</v>
      </c>
      <c r="D19" s="20">
        <v>620000</v>
      </c>
      <c r="E19" s="20">
        <v>700000</v>
      </c>
      <c r="F19" s="22">
        <v>2180000</v>
      </c>
    </row>
    <row r="20" spans="1:6" x14ac:dyDescent="0.35">
      <c r="A20">
        <v>5</v>
      </c>
      <c r="C20" s="20">
        <v>30000</v>
      </c>
      <c r="D20" s="20">
        <v>650000</v>
      </c>
      <c r="E20" s="20">
        <v>700000</v>
      </c>
      <c r="F20" s="22">
        <v>2850000</v>
      </c>
    </row>
    <row r="22" spans="1:6" ht="15.5" x14ac:dyDescent="0.35">
      <c r="A22" s="31" t="s">
        <v>179</v>
      </c>
      <c r="B22" s="24"/>
      <c r="C22" s="24"/>
      <c r="D22" s="24"/>
      <c r="E22" s="24"/>
    </row>
    <row r="23" spans="1:6" x14ac:dyDescent="0.35">
      <c r="A23" s="24" t="s">
        <v>192</v>
      </c>
      <c r="B23" s="24"/>
      <c r="C23" s="24"/>
      <c r="D23" s="24"/>
      <c r="E23" s="24"/>
    </row>
  </sheetData>
  <mergeCells count="7">
    <mergeCell ref="A22:E22"/>
    <mergeCell ref="A23:E23"/>
    <mergeCell ref="A1:E1"/>
    <mergeCell ref="B3:E3"/>
    <mergeCell ref="A5:E5"/>
    <mergeCell ref="A9:E9"/>
    <mergeCell ref="A14:E14"/>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Views>
    <sheetView workbookViewId="0">
      <selection activeCell="C20" sqref="C20"/>
    </sheetView>
  </sheetViews>
  <sheetFormatPr defaultRowHeight="14.5" x14ac:dyDescent="0.35"/>
  <cols>
    <col min="1" max="1" width="36.54296875" customWidth="1"/>
  </cols>
  <sheetData>
    <row r="1" spans="1:6" ht="18.5" x14ac:dyDescent="0.45">
      <c r="A1" s="32" t="s">
        <v>193</v>
      </c>
      <c r="B1" s="24"/>
      <c r="C1" s="24"/>
      <c r="D1" s="24"/>
      <c r="E1" s="24"/>
    </row>
    <row r="3" spans="1:6" x14ac:dyDescent="0.35">
      <c r="A3" s="2" t="s">
        <v>162</v>
      </c>
      <c r="B3" s="24" t="s">
        <v>194</v>
      </c>
      <c r="C3" s="24"/>
      <c r="D3" s="24"/>
      <c r="E3" s="24"/>
    </row>
    <row r="5" spans="1:6" ht="15.5" x14ac:dyDescent="0.35">
      <c r="A5" s="31" t="s">
        <v>164</v>
      </c>
      <c r="B5" s="24"/>
      <c r="C5" s="24"/>
      <c r="D5" s="24"/>
      <c r="E5" s="24"/>
    </row>
    <row r="6" spans="1:6" x14ac:dyDescent="0.35">
      <c r="A6" t="s">
        <v>165</v>
      </c>
      <c r="B6" s="20">
        <v>100000</v>
      </c>
    </row>
    <row r="7" spans="1:6" x14ac:dyDescent="0.35">
      <c r="A7" t="s">
        <v>166</v>
      </c>
      <c r="B7" s="20">
        <v>15000</v>
      </c>
    </row>
    <row r="9" spans="1:6" ht="15.5" x14ac:dyDescent="0.35">
      <c r="A9" s="31" t="s">
        <v>167</v>
      </c>
      <c r="B9" s="24"/>
      <c r="C9" s="24"/>
      <c r="D9" s="24"/>
      <c r="E9" s="24"/>
    </row>
    <row r="10" spans="1:6" x14ac:dyDescent="0.35">
      <c r="A10" t="s">
        <v>168</v>
      </c>
      <c r="B10" s="20">
        <v>300000</v>
      </c>
    </row>
    <row r="11" spans="1:6" x14ac:dyDescent="0.35">
      <c r="A11" t="s">
        <v>169</v>
      </c>
      <c r="B11" s="20">
        <v>180000</v>
      </c>
    </row>
    <row r="12" spans="1:6" x14ac:dyDescent="0.35">
      <c r="A12" t="s">
        <v>170</v>
      </c>
      <c r="B12" s="21">
        <v>120000</v>
      </c>
    </row>
    <row r="14" spans="1:6" ht="15.5" x14ac:dyDescent="0.35">
      <c r="A14" s="31" t="s">
        <v>171</v>
      </c>
      <c r="B14" s="24"/>
      <c r="C14" s="24"/>
      <c r="D14" s="24"/>
      <c r="E14" s="24"/>
    </row>
    <row r="15" spans="1:6" x14ac:dyDescent="0.35">
      <c r="A15" s="2" t="s">
        <v>172</v>
      </c>
      <c r="B15" s="2" t="s">
        <v>173</v>
      </c>
      <c r="C15" s="2" t="s">
        <v>174</v>
      </c>
      <c r="D15" s="2" t="s">
        <v>175</v>
      </c>
      <c r="E15" s="2" t="s">
        <v>176</v>
      </c>
      <c r="F15" s="2" t="s">
        <v>177</v>
      </c>
    </row>
    <row r="16" spans="1:6" x14ac:dyDescent="0.35">
      <c r="A16">
        <v>1</v>
      </c>
      <c r="B16" s="20">
        <v>100000</v>
      </c>
      <c r="C16" s="20">
        <v>15000</v>
      </c>
      <c r="D16" s="20">
        <v>115000</v>
      </c>
      <c r="E16" s="20">
        <v>120000</v>
      </c>
      <c r="F16" s="22">
        <v>5000</v>
      </c>
    </row>
    <row r="17" spans="1:6" x14ac:dyDescent="0.35">
      <c r="A17">
        <v>2</v>
      </c>
      <c r="C17" s="20">
        <v>15000</v>
      </c>
      <c r="D17" s="20">
        <v>130000</v>
      </c>
      <c r="E17" s="20">
        <v>120000</v>
      </c>
      <c r="F17" s="22">
        <v>110000</v>
      </c>
    </row>
    <row r="18" spans="1:6" x14ac:dyDescent="0.35">
      <c r="A18">
        <v>3</v>
      </c>
      <c r="C18" s="20">
        <v>15000</v>
      </c>
      <c r="D18" s="20">
        <v>145000</v>
      </c>
      <c r="E18" s="20">
        <v>120000</v>
      </c>
      <c r="F18" s="22">
        <v>215000</v>
      </c>
    </row>
    <row r="19" spans="1:6" x14ac:dyDescent="0.35">
      <c r="A19">
        <v>4</v>
      </c>
      <c r="C19" s="20">
        <v>15000</v>
      </c>
      <c r="D19" s="20">
        <v>160000</v>
      </c>
      <c r="E19" s="20">
        <v>120000</v>
      </c>
      <c r="F19" s="22">
        <v>320000</v>
      </c>
    </row>
    <row r="20" spans="1:6" x14ac:dyDescent="0.35">
      <c r="A20">
        <v>5</v>
      </c>
      <c r="C20" s="20">
        <v>15000</v>
      </c>
      <c r="D20" s="20">
        <v>175000</v>
      </c>
      <c r="E20" s="20">
        <v>120000</v>
      </c>
      <c r="F20" s="22">
        <v>425000</v>
      </c>
    </row>
    <row r="22" spans="1:6" ht="15.5" x14ac:dyDescent="0.35">
      <c r="A22" s="31" t="s">
        <v>179</v>
      </c>
      <c r="B22" s="24"/>
      <c r="C22" s="24"/>
      <c r="D22" s="24"/>
      <c r="E22" s="24"/>
    </row>
    <row r="23" spans="1:6" x14ac:dyDescent="0.35">
      <c r="A23" s="24" t="s">
        <v>195</v>
      </c>
      <c r="B23" s="24"/>
      <c r="C23" s="24"/>
      <c r="D23" s="24"/>
      <c r="E23" s="24"/>
    </row>
  </sheetData>
  <mergeCells count="7">
    <mergeCell ref="A22:E22"/>
    <mergeCell ref="A23:E23"/>
    <mergeCell ref="A1:E1"/>
    <mergeCell ref="B3:E3"/>
    <mergeCell ref="A5:E5"/>
    <mergeCell ref="A9:E9"/>
    <mergeCell ref="A14:E14"/>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Views>
    <sheetView workbookViewId="0">
      <selection activeCell="A3" sqref="A3"/>
    </sheetView>
  </sheetViews>
  <sheetFormatPr defaultRowHeight="14.5" x14ac:dyDescent="0.35"/>
  <cols>
    <col min="1" max="1" width="35.1796875" customWidth="1"/>
    <col min="2" max="2" width="15.90625" customWidth="1"/>
    <col min="3" max="3" width="12.90625" customWidth="1"/>
    <col min="4" max="4" width="12.26953125" customWidth="1"/>
    <col min="5" max="5" width="13.6328125" customWidth="1"/>
  </cols>
  <sheetData>
    <row r="1" spans="1:6" ht="18.5" x14ac:dyDescent="0.45">
      <c r="A1" s="32" t="s">
        <v>196</v>
      </c>
      <c r="B1" s="24"/>
      <c r="C1" s="24"/>
      <c r="D1" s="24"/>
      <c r="E1" s="24"/>
    </row>
    <row r="3" spans="1:6" x14ac:dyDescent="0.35">
      <c r="A3" s="2" t="s">
        <v>162</v>
      </c>
      <c r="B3" s="24" t="s">
        <v>197</v>
      </c>
      <c r="C3" s="24"/>
      <c r="D3" s="24"/>
      <c r="E3" s="24"/>
    </row>
    <row r="5" spans="1:6" ht="15.5" x14ac:dyDescent="0.35">
      <c r="A5" s="31" t="s">
        <v>164</v>
      </c>
      <c r="B5" s="24"/>
      <c r="C5" s="24"/>
      <c r="D5" s="24"/>
      <c r="E5" s="24"/>
    </row>
    <row r="6" spans="1:6" x14ac:dyDescent="0.35">
      <c r="A6" t="s">
        <v>165</v>
      </c>
      <c r="B6" s="20">
        <v>50000</v>
      </c>
    </row>
    <row r="7" spans="1:6" x14ac:dyDescent="0.35">
      <c r="A7" t="s">
        <v>166</v>
      </c>
      <c r="B7" s="20">
        <v>20000</v>
      </c>
    </row>
    <row r="9" spans="1:6" ht="15.5" x14ac:dyDescent="0.35">
      <c r="A9" s="31" t="s">
        <v>167</v>
      </c>
      <c r="B9" s="24"/>
      <c r="C9" s="24"/>
      <c r="D9" s="24"/>
      <c r="E9" s="24"/>
    </row>
    <row r="10" spans="1:6" x14ac:dyDescent="0.35">
      <c r="A10" t="s">
        <v>168</v>
      </c>
      <c r="B10" s="20">
        <v>250000</v>
      </c>
    </row>
    <row r="11" spans="1:6" x14ac:dyDescent="0.35">
      <c r="A11" t="s">
        <v>169</v>
      </c>
      <c r="B11" s="20">
        <v>162500</v>
      </c>
    </row>
    <row r="12" spans="1:6" x14ac:dyDescent="0.35">
      <c r="A12" t="s">
        <v>170</v>
      </c>
      <c r="B12" s="21">
        <v>87500</v>
      </c>
    </row>
    <row r="14" spans="1:6" ht="15.5" x14ac:dyDescent="0.35">
      <c r="A14" s="31" t="s">
        <v>171</v>
      </c>
      <c r="B14" s="24"/>
      <c r="C14" s="24"/>
      <c r="D14" s="24"/>
      <c r="E14" s="24"/>
    </row>
    <row r="15" spans="1:6" x14ac:dyDescent="0.35">
      <c r="A15" s="2" t="s">
        <v>172</v>
      </c>
      <c r="B15" s="2" t="s">
        <v>173</v>
      </c>
      <c r="C15" s="2" t="s">
        <v>174</v>
      </c>
      <c r="D15" s="2" t="s">
        <v>175</v>
      </c>
      <c r="E15" s="2" t="s">
        <v>176</v>
      </c>
      <c r="F15" s="2" t="s">
        <v>177</v>
      </c>
    </row>
    <row r="16" spans="1:6" x14ac:dyDescent="0.35">
      <c r="A16">
        <v>1</v>
      </c>
      <c r="B16" s="20">
        <v>50000</v>
      </c>
      <c r="C16" s="20">
        <v>20000</v>
      </c>
      <c r="D16" s="20">
        <v>70000</v>
      </c>
      <c r="E16" s="20">
        <v>87500</v>
      </c>
      <c r="F16" s="22">
        <v>17500</v>
      </c>
    </row>
    <row r="17" spans="1:6" x14ac:dyDescent="0.35">
      <c r="A17">
        <v>2</v>
      </c>
      <c r="C17" s="20">
        <v>20000</v>
      </c>
      <c r="D17" s="20">
        <v>90000</v>
      </c>
      <c r="E17" s="20">
        <v>87500</v>
      </c>
      <c r="F17" s="22">
        <v>85000</v>
      </c>
    </row>
    <row r="18" spans="1:6" x14ac:dyDescent="0.35">
      <c r="A18">
        <v>3</v>
      </c>
      <c r="C18" s="20">
        <v>20000</v>
      </c>
      <c r="D18" s="20">
        <v>110000</v>
      </c>
      <c r="E18" s="20">
        <v>87500</v>
      </c>
      <c r="F18" s="22">
        <v>152500</v>
      </c>
    </row>
    <row r="19" spans="1:6" x14ac:dyDescent="0.35">
      <c r="A19">
        <v>4</v>
      </c>
      <c r="C19" s="20">
        <v>20000</v>
      </c>
      <c r="D19" s="20">
        <v>130000</v>
      </c>
      <c r="E19" s="20">
        <v>87500</v>
      </c>
      <c r="F19" s="22">
        <v>220000</v>
      </c>
    </row>
    <row r="21" spans="1:6" ht="15.5" x14ac:dyDescent="0.35">
      <c r="A21" s="31" t="s">
        <v>179</v>
      </c>
      <c r="B21" s="24"/>
      <c r="C21" s="24"/>
      <c r="D21" s="24"/>
      <c r="E21" s="24"/>
    </row>
    <row r="22" spans="1:6" x14ac:dyDescent="0.35">
      <c r="A22" s="24" t="s">
        <v>198</v>
      </c>
      <c r="B22" s="24"/>
      <c r="C22" s="24"/>
      <c r="D22" s="24"/>
      <c r="E22" s="24"/>
    </row>
  </sheetData>
  <mergeCells count="7">
    <mergeCell ref="A21:E21"/>
    <mergeCell ref="A22:E22"/>
    <mergeCell ref="A1:E1"/>
    <mergeCell ref="B3:E3"/>
    <mergeCell ref="A5:E5"/>
    <mergeCell ref="A9:E9"/>
    <mergeCell ref="A14:E14"/>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Views>
    <sheetView workbookViewId="0">
      <selection activeCell="C11" sqref="C11"/>
    </sheetView>
  </sheetViews>
  <sheetFormatPr defaultRowHeight="14.5" x14ac:dyDescent="0.35"/>
  <cols>
    <col min="1" max="1" width="30.1796875" customWidth="1"/>
    <col min="2" max="2" width="15.08984375" customWidth="1"/>
    <col min="3" max="3" width="11.26953125" customWidth="1"/>
    <col min="4" max="4" width="17.08984375" customWidth="1"/>
  </cols>
  <sheetData>
    <row r="1" spans="1:6" ht="18.5" x14ac:dyDescent="0.45">
      <c r="A1" s="32" t="s">
        <v>199</v>
      </c>
      <c r="B1" s="24"/>
      <c r="C1" s="24"/>
      <c r="D1" s="24"/>
      <c r="E1" s="24"/>
    </row>
    <row r="3" spans="1:6" x14ac:dyDescent="0.35">
      <c r="A3" s="2" t="s">
        <v>162</v>
      </c>
      <c r="B3" s="24" t="s">
        <v>200</v>
      </c>
      <c r="C3" s="24"/>
      <c r="D3" s="24"/>
      <c r="E3" s="24"/>
    </row>
    <row r="5" spans="1:6" ht="15.5" x14ac:dyDescent="0.35">
      <c r="A5" s="31" t="s">
        <v>164</v>
      </c>
      <c r="B5" s="24"/>
      <c r="C5" s="24"/>
      <c r="D5" s="24"/>
      <c r="E5" s="24"/>
    </row>
    <row r="6" spans="1:6" x14ac:dyDescent="0.35">
      <c r="A6" t="s">
        <v>165</v>
      </c>
      <c r="B6" s="20">
        <v>75000</v>
      </c>
    </row>
    <row r="7" spans="1:6" x14ac:dyDescent="0.35">
      <c r="A7" t="s">
        <v>166</v>
      </c>
      <c r="B7" s="20">
        <v>10000</v>
      </c>
    </row>
    <row r="9" spans="1:6" ht="15.5" x14ac:dyDescent="0.35">
      <c r="A9" s="31" t="s">
        <v>167</v>
      </c>
      <c r="B9" s="24"/>
      <c r="C9" s="24"/>
      <c r="D9" s="24"/>
      <c r="E9" s="24"/>
    </row>
    <row r="10" spans="1:6" x14ac:dyDescent="0.35">
      <c r="A10" t="s">
        <v>168</v>
      </c>
      <c r="B10" s="20">
        <v>200000</v>
      </c>
    </row>
    <row r="11" spans="1:6" x14ac:dyDescent="0.35">
      <c r="A11" t="s">
        <v>169</v>
      </c>
      <c r="B11" s="20">
        <v>140000</v>
      </c>
    </row>
    <row r="12" spans="1:6" x14ac:dyDescent="0.35">
      <c r="A12" t="s">
        <v>170</v>
      </c>
      <c r="B12" s="21">
        <v>60000</v>
      </c>
    </row>
    <row r="14" spans="1:6" ht="15.5" x14ac:dyDescent="0.35">
      <c r="A14" s="31" t="s">
        <v>171</v>
      </c>
      <c r="B14" s="24"/>
      <c r="C14" s="24"/>
      <c r="D14" s="24"/>
      <c r="E14" s="24"/>
    </row>
    <row r="15" spans="1:6" x14ac:dyDescent="0.35">
      <c r="A15" s="2" t="s">
        <v>172</v>
      </c>
      <c r="B15" s="2" t="s">
        <v>173</v>
      </c>
      <c r="C15" s="2" t="s">
        <v>174</v>
      </c>
      <c r="D15" s="2" t="s">
        <v>175</v>
      </c>
      <c r="E15" s="2" t="s">
        <v>176</v>
      </c>
      <c r="F15" s="2" t="s">
        <v>177</v>
      </c>
    </row>
    <row r="16" spans="1:6" x14ac:dyDescent="0.35">
      <c r="A16">
        <v>1</v>
      </c>
      <c r="B16" s="20">
        <v>75000</v>
      </c>
      <c r="C16" s="20">
        <v>10000</v>
      </c>
      <c r="D16" s="20">
        <v>85000</v>
      </c>
      <c r="E16" s="20">
        <v>60000</v>
      </c>
      <c r="F16" s="20">
        <v>-25000</v>
      </c>
    </row>
    <row r="17" spans="1:6" x14ac:dyDescent="0.35">
      <c r="A17">
        <v>2</v>
      </c>
      <c r="C17" s="20">
        <v>10000</v>
      </c>
      <c r="D17" s="20">
        <v>95000</v>
      </c>
      <c r="E17" s="20">
        <v>60000</v>
      </c>
      <c r="F17" s="22">
        <v>25000</v>
      </c>
    </row>
    <row r="18" spans="1:6" x14ac:dyDescent="0.35">
      <c r="A18">
        <v>3</v>
      </c>
      <c r="C18" s="20">
        <v>10000</v>
      </c>
      <c r="D18" s="20">
        <v>105000</v>
      </c>
      <c r="E18" s="20">
        <v>60000</v>
      </c>
      <c r="F18" s="22">
        <v>75000</v>
      </c>
    </row>
    <row r="19" spans="1:6" x14ac:dyDescent="0.35">
      <c r="A19">
        <v>4</v>
      </c>
      <c r="C19" s="20">
        <v>10000</v>
      </c>
      <c r="D19" s="20">
        <v>115000</v>
      </c>
      <c r="E19" s="20">
        <v>60000</v>
      </c>
      <c r="F19" s="22">
        <v>125000</v>
      </c>
    </row>
    <row r="20" spans="1:6" x14ac:dyDescent="0.35">
      <c r="A20">
        <v>5</v>
      </c>
      <c r="C20" s="20">
        <v>10000</v>
      </c>
      <c r="D20" s="20">
        <v>125000</v>
      </c>
      <c r="E20" s="20">
        <v>60000</v>
      </c>
      <c r="F20" s="14" t="s">
        <v>178</v>
      </c>
    </row>
    <row r="22" spans="1:6" ht="15.5" x14ac:dyDescent="0.35">
      <c r="A22" s="31" t="s">
        <v>179</v>
      </c>
      <c r="B22" s="24"/>
      <c r="C22" s="24"/>
      <c r="D22" s="24"/>
      <c r="E22" s="24"/>
    </row>
    <row r="23" spans="1:6" x14ac:dyDescent="0.35">
      <c r="A23" s="24" t="s">
        <v>201</v>
      </c>
      <c r="B23" s="24"/>
      <c r="C23" s="24"/>
      <c r="D23" s="24"/>
      <c r="E23" s="24"/>
    </row>
  </sheetData>
  <mergeCells count="7">
    <mergeCell ref="A22:E22"/>
    <mergeCell ref="A23:E23"/>
    <mergeCell ref="A1:E1"/>
    <mergeCell ref="B3:E3"/>
    <mergeCell ref="A5:E5"/>
    <mergeCell ref="A9:E9"/>
    <mergeCell ref="A14:E14"/>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Views>
    <sheetView workbookViewId="0">
      <selection activeCell="F20" sqref="F20"/>
    </sheetView>
  </sheetViews>
  <sheetFormatPr defaultRowHeight="14.5" x14ac:dyDescent="0.35"/>
  <cols>
    <col min="1" max="1" width="33" customWidth="1"/>
    <col min="6" max="6" width="10.26953125" bestFit="1" customWidth="1"/>
  </cols>
  <sheetData>
    <row r="1" spans="1:6" ht="18.5" x14ac:dyDescent="0.45">
      <c r="A1" s="32" t="s">
        <v>202</v>
      </c>
      <c r="B1" s="24"/>
      <c r="C1" s="24"/>
      <c r="D1" s="24"/>
      <c r="E1" s="24"/>
    </row>
    <row r="3" spans="1:6" x14ac:dyDescent="0.35">
      <c r="A3" s="2" t="s">
        <v>162</v>
      </c>
      <c r="B3" s="24" t="s">
        <v>203</v>
      </c>
      <c r="C3" s="24"/>
      <c r="D3" s="24"/>
      <c r="E3" s="24"/>
    </row>
    <row r="5" spans="1:6" ht="15.5" x14ac:dyDescent="0.35">
      <c r="A5" s="31" t="s">
        <v>164</v>
      </c>
      <c r="B5" s="24"/>
      <c r="C5" s="24"/>
      <c r="D5" s="24"/>
      <c r="E5" s="24"/>
    </row>
    <row r="6" spans="1:6" x14ac:dyDescent="0.35">
      <c r="A6" t="s">
        <v>165</v>
      </c>
      <c r="B6" s="20">
        <v>200000</v>
      </c>
    </row>
    <row r="7" spans="1:6" x14ac:dyDescent="0.35">
      <c r="A7" t="s">
        <v>166</v>
      </c>
      <c r="B7" s="20">
        <v>25000</v>
      </c>
    </row>
    <row r="9" spans="1:6" ht="15.5" x14ac:dyDescent="0.35">
      <c r="A9" s="31" t="s">
        <v>167</v>
      </c>
      <c r="B9" s="24"/>
      <c r="C9" s="24"/>
      <c r="D9" s="24"/>
      <c r="E9" s="24"/>
    </row>
    <row r="10" spans="1:6" x14ac:dyDescent="0.35">
      <c r="A10" t="s">
        <v>168</v>
      </c>
      <c r="B10" s="20">
        <v>800000</v>
      </c>
    </row>
    <row r="11" spans="1:6" x14ac:dyDescent="0.35">
      <c r="A11" t="s">
        <v>169</v>
      </c>
      <c r="B11" s="20">
        <v>400000</v>
      </c>
    </row>
    <row r="12" spans="1:6" x14ac:dyDescent="0.35">
      <c r="A12" t="s">
        <v>170</v>
      </c>
      <c r="B12" s="21">
        <v>400000</v>
      </c>
    </row>
    <row r="14" spans="1:6" ht="15.5" x14ac:dyDescent="0.35">
      <c r="A14" s="31" t="s">
        <v>171</v>
      </c>
      <c r="B14" s="24"/>
      <c r="C14" s="24"/>
      <c r="D14" s="24"/>
      <c r="E14" s="24"/>
    </row>
    <row r="15" spans="1:6" x14ac:dyDescent="0.35">
      <c r="A15" s="2" t="s">
        <v>172</v>
      </c>
      <c r="B15" s="2" t="s">
        <v>173</v>
      </c>
      <c r="C15" s="2" t="s">
        <v>174</v>
      </c>
      <c r="D15" s="2" t="s">
        <v>175</v>
      </c>
      <c r="E15" s="2" t="s">
        <v>176</v>
      </c>
      <c r="F15" s="2" t="s">
        <v>177</v>
      </c>
    </row>
    <row r="16" spans="1:6" x14ac:dyDescent="0.35">
      <c r="A16">
        <v>1</v>
      </c>
      <c r="B16" s="20">
        <v>200000</v>
      </c>
      <c r="C16" s="20">
        <v>25000</v>
      </c>
      <c r="D16" s="20">
        <v>225000</v>
      </c>
      <c r="E16" s="20">
        <v>400000</v>
      </c>
      <c r="F16" s="22">
        <v>175000</v>
      </c>
    </row>
    <row r="17" spans="1:6" x14ac:dyDescent="0.35">
      <c r="A17">
        <v>2</v>
      </c>
      <c r="C17" s="20">
        <v>25000</v>
      </c>
      <c r="D17" s="20">
        <v>250000</v>
      </c>
      <c r="E17" s="20">
        <v>400000</v>
      </c>
      <c r="F17" s="22">
        <v>550000</v>
      </c>
    </row>
    <row r="18" spans="1:6" x14ac:dyDescent="0.35">
      <c r="A18">
        <v>3</v>
      </c>
      <c r="C18" s="20">
        <v>25000</v>
      </c>
      <c r="D18" s="20">
        <v>275000</v>
      </c>
      <c r="E18" s="20">
        <v>400000</v>
      </c>
      <c r="F18" s="22">
        <v>925000</v>
      </c>
    </row>
    <row r="19" spans="1:6" x14ac:dyDescent="0.35">
      <c r="A19">
        <v>4</v>
      </c>
      <c r="C19" s="20">
        <v>25000</v>
      </c>
      <c r="D19" s="20">
        <v>300000</v>
      </c>
      <c r="E19" s="20">
        <v>400000</v>
      </c>
      <c r="F19" s="22">
        <v>1300000</v>
      </c>
    </row>
    <row r="20" spans="1:6" x14ac:dyDescent="0.35">
      <c r="A20">
        <v>5</v>
      </c>
      <c r="C20" s="20">
        <v>25000</v>
      </c>
      <c r="D20" s="20">
        <v>325000</v>
      </c>
      <c r="E20" s="20">
        <v>400000</v>
      </c>
      <c r="F20" s="22">
        <v>1675000</v>
      </c>
    </row>
    <row r="22" spans="1:6" ht="15.5" x14ac:dyDescent="0.35">
      <c r="A22" s="31" t="s">
        <v>179</v>
      </c>
      <c r="B22" s="24"/>
      <c r="C22" s="24"/>
      <c r="D22" s="24"/>
      <c r="E22" s="24"/>
    </row>
    <row r="23" spans="1:6" x14ac:dyDescent="0.35">
      <c r="A23" s="24" t="s">
        <v>204</v>
      </c>
      <c r="B23" s="24"/>
      <c r="C23" s="24"/>
      <c r="D23" s="24"/>
      <c r="E23" s="24"/>
    </row>
  </sheetData>
  <mergeCells count="7">
    <mergeCell ref="A22:E22"/>
    <mergeCell ref="A23:E23"/>
    <mergeCell ref="A1:E1"/>
    <mergeCell ref="B3:E3"/>
    <mergeCell ref="A5:E5"/>
    <mergeCell ref="A9:E9"/>
    <mergeCell ref="A14:E14"/>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workbookViewId="0">
      <selection activeCell="D11" sqref="D11"/>
    </sheetView>
  </sheetViews>
  <sheetFormatPr defaultRowHeight="14.5" x14ac:dyDescent="0.35"/>
  <cols>
    <col min="1" max="1" width="23.36328125" customWidth="1"/>
    <col min="2" max="2" width="18.453125" customWidth="1"/>
    <col min="3" max="3" width="57.90625" customWidth="1"/>
    <col min="4" max="4" width="18.08984375" customWidth="1"/>
    <col min="5" max="5" width="26.81640625" customWidth="1"/>
  </cols>
  <sheetData>
    <row r="1" spans="1:5" x14ac:dyDescent="0.35">
      <c r="A1" s="10" t="s">
        <v>205</v>
      </c>
      <c r="B1" s="10" t="s">
        <v>141</v>
      </c>
      <c r="C1" s="10" t="s">
        <v>206</v>
      </c>
      <c r="D1" s="10" t="s">
        <v>207</v>
      </c>
      <c r="E1" s="10" t="s">
        <v>208</v>
      </c>
    </row>
    <row r="2" spans="1:5" x14ac:dyDescent="0.35">
      <c r="A2" t="s">
        <v>209</v>
      </c>
      <c r="B2" t="s">
        <v>51</v>
      </c>
      <c r="C2" t="s">
        <v>210</v>
      </c>
      <c r="D2" s="20">
        <v>150000</v>
      </c>
      <c r="E2" t="s">
        <v>211</v>
      </c>
    </row>
    <row r="3" spans="1:5" x14ac:dyDescent="0.35">
      <c r="A3" t="s">
        <v>209</v>
      </c>
      <c r="B3" t="s">
        <v>51</v>
      </c>
      <c r="C3" t="s">
        <v>212</v>
      </c>
      <c r="D3" s="20">
        <v>50000</v>
      </c>
      <c r="E3" t="s">
        <v>213</v>
      </c>
    </row>
    <row r="4" spans="1:5" x14ac:dyDescent="0.35">
      <c r="A4" t="s">
        <v>209</v>
      </c>
      <c r="B4" t="s">
        <v>51</v>
      </c>
      <c r="C4" t="s">
        <v>214</v>
      </c>
      <c r="D4" s="20">
        <v>75000</v>
      </c>
      <c r="E4" t="s">
        <v>215</v>
      </c>
    </row>
    <row r="5" spans="1:5" x14ac:dyDescent="0.35">
      <c r="A5" t="s">
        <v>216</v>
      </c>
      <c r="B5" t="s">
        <v>51</v>
      </c>
      <c r="C5" t="s">
        <v>217</v>
      </c>
      <c r="D5" s="20">
        <v>250000</v>
      </c>
      <c r="E5" t="s">
        <v>218</v>
      </c>
    </row>
    <row r="6" spans="1:5" x14ac:dyDescent="0.35">
      <c r="A6" t="s">
        <v>216</v>
      </c>
      <c r="B6" t="s">
        <v>51</v>
      </c>
      <c r="C6" t="s">
        <v>219</v>
      </c>
      <c r="D6" s="20">
        <v>50000</v>
      </c>
      <c r="E6" t="s">
        <v>220</v>
      </c>
    </row>
    <row r="7" spans="1:5" x14ac:dyDescent="0.35">
      <c r="A7" t="s">
        <v>216</v>
      </c>
      <c r="B7" t="s">
        <v>52</v>
      </c>
      <c r="C7" t="s">
        <v>221</v>
      </c>
      <c r="D7" s="20">
        <v>100000</v>
      </c>
      <c r="E7" t="s">
        <v>222</v>
      </c>
    </row>
    <row r="8" spans="1:5" x14ac:dyDescent="0.35">
      <c r="A8" t="s">
        <v>223</v>
      </c>
      <c r="B8" t="s">
        <v>52</v>
      </c>
      <c r="C8" t="s">
        <v>224</v>
      </c>
      <c r="D8" s="20">
        <v>200000</v>
      </c>
      <c r="E8" t="s">
        <v>225</v>
      </c>
    </row>
    <row r="9" spans="1:5" x14ac:dyDescent="0.35">
      <c r="A9" t="s">
        <v>223</v>
      </c>
      <c r="B9" t="s">
        <v>52</v>
      </c>
      <c r="C9" t="s">
        <v>226</v>
      </c>
      <c r="D9" s="20">
        <v>500000</v>
      </c>
      <c r="E9" t="s">
        <v>227</v>
      </c>
    </row>
    <row r="10" spans="1:5" x14ac:dyDescent="0.35">
      <c r="A10" t="s">
        <v>223</v>
      </c>
      <c r="B10" t="s">
        <v>53</v>
      </c>
      <c r="C10" t="s">
        <v>228</v>
      </c>
      <c r="D10" s="20">
        <v>300000</v>
      </c>
      <c r="E10" t="s">
        <v>229</v>
      </c>
    </row>
    <row r="11" spans="1:5" x14ac:dyDescent="0.35">
      <c r="A11" t="s">
        <v>223</v>
      </c>
      <c r="B11" t="s">
        <v>53</v>
      </c>
      <c r="C11" t="s">
        <v>230</v>
      </c>
      <c r="D11" s="20">
        <v>100000</v>
      </c>
      <c r="E11" t="s">
        <v>231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workbookViewId="0"/>
  </sheetViews>
  <sheetFormatPr defaultRowHeight="14.5" x14ac:dyDescent="0.35"/>
  <cols>
    <col min="1" max="1" width="5.26953125" customWidth="1"/>
    <col min="2" max="2" width="30.08984375" customWidth="1"/>
    <col min="3" max="3" width="14.6328125" customWidth="1"/>
    <col min="4" max="4" width="17.1796875" customWidth="1"/>
    <col min="5" max="5" width="15.26953125" customWidth="1"/>
    <col min="6" max="6" width="27.36328125" customWidth="1"/>
  </cols>
  <sheetData>
    <row r="1" spans="1:6" x14ac:dyDescent="0.35">
      <c r="A1" s="10" t="s">
        <v>232</v>
      </c>
      <c r="B1" s="10" t="s">
        <v>233</v>
      </c>
      <c r="C1" s="10" t="s">
        <v>55</v>
      </c>
      <c r="D1" s="10" t="s">
        <v>56</v>
      </c>
      <c r="E1" s="10" t="s">
        <v>57</v>
      </c>
      <c r="F1" s="10" t="s">
        <v>234</v>
      </c>
    </row>
    <row r="2" spans="1:6" x14ac:dyDescent="0.35">
      <c r="A2">
        <v>1</v>
      </c>
      <c r="B2" t="s">
        <v>235</v>
      </c>
      <c r="C2" t="s">
        <v>64</v>
      </c>
      <c r="D2" t="s">
        <v>65</v>
      </c>
      <c r="E2" t="s">
        <v>236</v>
      </c>
      <c r="F2" s="11" t="s">
        <v>64</v>
      </c>
    </row>
    <row r="3" spans="1:6" x14ac:dyDescent="0.35">
      <c r="A3">
        <v>2</v>
      </c>
      <c r="B3" t="s">
        <v>237</v>
      </c>
      <c r="C3" t="s">
        <v>64</v>
      </c>
      <c r="D3" t="s">
        <v>65</v>
      </c>
      <c r="E3" t="s">
        <v>236</v>
      </c>
      <c r="F3" s="11" t="s">
        <v>64</v>
      </c>
    </row>
    <row r="4" spans="1:6" x14ac:dyDescent="0.35">
      <c r="A4">
        <v>3</v>
      </c>
      <c r="B4" t="s">
        <v>238</v>
      </c>
      <c r="C4" t="s">
        <v>64</v>
      </c>
      <c r="D4" t="s">
        <v>65</v>
      </c>
      <c r="E4" t="s">
        <v>236</v>
      </c>
      <c r="F4" s="11" t="s">
        <v>64</v>
      </c>
    </row>
    <row r="5" spans="1:6" x14ac:dyDescent="0.35">
      <c r="A5">
        <v>4</v>
      </c>
      <c r="B5" t="s">
        <v>239</v>
      </c>
      <c r="C5" t="s">
        <v>64</v>
      </c>
      <c r="D5" t="s">
        <v>67</v>
      </c>
      <c r="E5" t="s">
        <v>240</v>
      </c>
      <c r="F5" s="12" t="s">
        <v>65</v>
      </c>
    </row>
    <row r="6" spans="1:6" x14ac:dyDescent="0.35">
      <c r="A6">
        <v>5</v>
      </c>
      <c r="B6" t="s">
        <v>241</v>
      </c>
      <c r="C6" t="s">
        <v>64</v>
      </c>
      <c r="D6" t="s">
        <v>65</v>
      </c>
      <c r="E6" t="s">
        <v>236</v>
      </c>
      <c r="F6" s="11" t="s">
        <v>64</v>
      </c>
    </row>
    <row r="7" spans="1:6" x14ac:dyDescent="0.35">
      <c r="A7">
        <v>6</v>
      </c>
      <c r="B7" t="s">
        <v>242</v>
      </c>
      <c r="C7" t="s">
        <v>64</v>
      </c>
      <c r="D7" t="s">
        <v>65</v>
      </c>
      <c r="E7" t="s">
        <v>236</v>
      </c>
      <c r="F7" s="12" t="s">
        <v>65</v>
      </c>
    </row>
    <row r="8" spans="1:6" x14ac:dyDescent="0.35">
      <c r="A8">
        <v>7</v>
      </c>
      <c r="B8" t="s">
        <v>243</v>
      </c>
      <c r="C8" t="s">
        <v>65</v>
      </c>
      <c r="D8" t="s">
        <v>65</v>
      </c>
      <c r="E8" t="s">
        <v>244</v>
      </c>
      <c r="F8" s="13" t="s">
        <v>67</v>
      </c>
    </row>
    <row r="9" spans="1:6" x14ac:dyDescent="0.35">
      <c r="A9">
        <v>8</v>
      </c>
      <c r="B9" t="s">
        <v>245</v>
      </c>
      <c r="C9" t="s">
        <v>65</v>
      </c>
      <c r="D9" t="s">
        <v>67</v>
      </c>
      <c r="E9" t="s">
        <v>240</v>
      </c>
      <c r="F9" s="13" t="s">
        <v>67</v>
      </c>
    </row>
    <row r="10" spans="1:6" x14ac:dyDescent="0.35">
      <c r="A10">
        <v>9</v>
      </c>
      <c r="B10" t="s">
        <v>246</v>
      </c>
      <c r="C10" t="s">
        <v>65</v>
      </c>
      <c r="D10" t="s">
        <v>67</v>
      </c>
      <c r="E10" t="s">
        <v>240</v>
      </c>
      <c r="F10" s="12" t="s">
        <v>65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
  <sheetViews>
    <sheetView tabSelected="1" topLeftCell="A16" workbookViewId="0">
      <selection activeCell="O25" sqref="O25"/>
    </sheetView>
  </sheetViews>
  <sheetFormatPr defaultRowHeight="14.5" x14ac:dyDescent="0.35"/>
  <sheetData>
    <row r="1" spans="2:2" x14ac:dyDescent="0.35">
      <c r="B1" s="15"/>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Table of Contents</vt:lpstr>
      <vt:lpstr>Executive_Summary</vt:lpstr>
      <vt:lpstr>Risk_Matrix</vt:lpstr>
      <vt:lpstr>Risk_Assessment</vt:lpstr>
      <vt:lpstr>Cost_Analysis_Summary</vt:lpstr>
      <vt:lpstr>Control_1</vt:lpstr>
      <vt:lpstr>Control_2</vt:lpstr>
      <vt:lpstr>Control_3</vt:lpstr>
      <vt:lpstr>Control_4</vt:lpstr>
      <vt:lpstr>Control_5</vt:lpstr>
      <vt:lpstr>Control_6</vt:lpstr>
      <vt:lpstr>Control_7</vt:lpstr>
      <vt:lpstr>Control_8</vt:lpstr>
      <vt:lpstr>Control_9</vt:lpstr>
      <vt:lpstr>Recommendations</vt:lpstr>
      <vt:lpstr>Risk_Prioritization</vt:lpstr>
      <vt:lpstr>Network 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2025-12-11T00:33:56Z</dcterms:created>
  <dcterms:modified xsi:type="dcterms:W3CDTF">2025-12-12T04:29:50Z</dcterms:modified>
</cp:coreProperties>
</file>